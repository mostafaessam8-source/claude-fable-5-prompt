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New folder (40)\"/>
    </mc:Choice>
  </mc:AlternateContent>
  <xr:revisionPtr revIDLastSave="0" documentId="13_ncr:1_{4A430D82-8A19-41A6-AED9-4DCCA2AC3381}" xr6:coauthVersionLast="47" xr6:coauthVersionMax="47" xr10:uidLastSave="{00000000-0000-0000-0000-000000000000}"/>
  <bookViews>
    <workbookView xWindow="-110" yWindow="-110" windowWidth="29020" windowHeight="17500" activeTab="1" xr2:uid="{26DB2540-07C5-4D77-B17D-DAAD7DF538B3}"/>
  </bookViews>
  <sheets>
    <sheet name="Cover" sheetId="3" r:id="rId1"/>
    <sheet name="Shutdown02 Progress" sheetId="1" r:id="rId2"/>
    <sheet name="Charts" sheetId="2" r:id="rId3"/>
  </sheets>
  <definedNames>
    <definedName name="_xlnm.Print_Area" localSheetId="0">Cover!$A$1:$R$57</definedName>
    <definedName name="_xlnm.Print_Area" localSheetId="1">'Shutdown02 Progress'!$A$1:$S$178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77" i="1" l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78" i="1"/>
  <c r="C178" i="1"/>
  <c r="C177" i="1"/>
  <c r="C176" i="1"/>
  <c r="K171" i="1"/>
  <c r="K170" i="1"/>
  <c r="C161" i="1"/>
  <c r="C162" i="1"/>
  <c r="C159" i="1"/>
  <c r="C156" i="1"/>
  <c r="K154" i="1"/>
  <c r="K153" i="1"/>
  <c r="C145" i="1"/>
  <c r="C144" i="1"/>
  <c r="C143" i="1"/>
  <c r="C129" i="1"/>
  <c r="C128" i="1"/>
  <c r="C126" i="1"/>
  <c r="C124" i="1"/>
  <c r="C123" i="1"/>
  <c r="C112" i="1"/>
  <c r="C110" i="1"/>
  <c r="C103" i="1"/>
  <c r="L105" i="1"/>
  <c r="L103" i="1"/>
  <c r="Q103" i="1" s="1"/>
  <c r="C94" i="1"/>
  <c r="C96" i="1"/>
  <c r="C95" i="1"/>
  <c r="C93" i="1"/>
  <c r="C91" i="1"/>
  <c r="C90" i="1"/>
  <c r="K91" i="1"/>
  <c r="K90" i="1"/>
  <c r="C79" i="1"/>
  <c r="C78" i="1"/>
  <c r="C77" i="1"/>
  <c r="K72" i="1"/>
  <c r="M70" i="1"/>
  <c r="C70" i="1"/>
  <c r="C69" i="1"/>
  <c r="C60" i="1"/>
  <c r="C63" i="1"/>
  <c r="C62" i="1"/>
  <c r="C61" i="1"/>
  <c r="C58" i="1"/>
  <c r="C57" i="1"/>
  <c r="C46" i="1"/>
  <c r="C45" i="1"/>
  <c r="C44" i="1"/>
  <c r="C37" i="1"/>
  <c r="L37" i="1" s="1"/>
  <c r="C35" i="1"/>
  <c r="Q174" i="1"/>
  <c r="Q169" i="1"/>
  <c r="Q124" i="1"/>
  <c r="Q123" i="1"/>
  <c r="Q122" i="1"/>
  <c r="Q121" i="1"/>
  <c r="Q120" i="1"/>
  <c r="Q119" i="1"/>
  <c r="Q91" i="1"/>
  <c r="Q90" i="1"/>
  <c r="Q89" i="1"/>
  <c r="Q88" i="1"/>
  <c r="Q87" i="1"/>
  <c r="Q86" i="1"/>
  <c r="Q75" i="1"/>
  <c r="Q70" i="1"/>
  <c r="Q58" i="1"/>
  <c r="Q57" i="1"/>
  <c r="Q56" i="1"/>
  <c r="Q55" i="1"/>
  <c r="Q54" i="1"/>
  <c r="Q53" i="1"/>
  <c r="Q42" i="1"/>
  <c r="P21" i="1"/>
  <c r="P145" i="1"/>
  <c r="P144" i="1"/>
  <c r="P142" i="1"/>
  <c r="P141" i="1"/>
  <c r="P139" i="1"/>
  <c r="P138" i="1"/>
  <c r="P137" i="1"/>
  <c r="P136" i="1"/>
  <c r="P132" i="1"/>
  <c r="P127" i="1"/>
  <c r="P126" i="1"/>
  <c r="P124" i="1"/>
  <c r="P123" i="1"/>
  <c r="P122" i="1"/>
  <c r="P121" i="1"/>
  <c r="P120" i="1"/>
  <c r="P119" i="1"/>
  <c r="P111" i="1"/>
  <c r="P110" i="1"/>
  <c r="P109" i="1"/>
  <c r="P108" i="1"/>
  <c r="P105" i="1"/>
  <c r="P104" i="1"/>
  <c r="P103" i="1"/>
  <c r="P99" i="1"/>
  <c r="P94" i="1"/>
  <c r="P93" i="1"/>
  <c r="P91" i="1"/>
  <c r="P90" i="1"/>
  <c r="P89" i="1"/>
  <c r="P88" i="1"/>
  <c r="P87" i="1"/>
  <c r="P86" i="1"/>
  <c r="P78" i="1"/>
  <c r="P77" i="1"/>
  <c r="P76" i="1"/>
  <c r="P75" i="1"/>
  <c r="P73" i="1"/>
  <c r="P72" i="1"/>
  <c r="P71" i="1"/>
  <c r="P70" i="1"/>
  <c r="P68" i="1"/>
  <c r="P66" i="1"/>
  <c r="P64" i="1"/>
  <c r="P58" i="1"/>
  <c r="P57" i="1"/>
  <c r="P56" i="1"/>
  <c r="P55" i="1"/>
  <c r="P54" i="1"/>
  <c r="P53" i="1"/>
  <c r="P46" i="1"/>
  <c r="P44" i="1"/>
  <c r="P43" i="1"/>
  <c r="P42" i="1"/>
  <c r="P40" i="1"/>
  <c r="P39" i="1"/>
  <c r="P38" i="1"/>
  <c r="P37" i="1"/>
  <c r="P33" i="1"/>
  <c r="P31" i="1"/>
  <c r="P25" i="1"/>
  <c r="P24" i="1"/>
  <c r="P23" i="1"/>
  <c r="P22" i="1"/>
  <c r="P20" i="1"/>
  <c r="E152" i="1"/>
  <c r="V9" i="1"/>
  <c r="V13" i="1" s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2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52" i="1"/>
  <c r="C42" i="1"/>
  <c r="P79" i="1"/>
  <c r="P112" i="1"/>
  <c r="P143" i="1"/>
  <c r="P140" i="1"/>
  <c r="P45" i="1"/>
  <c r="P41" i="1"/>
  <c r="P74" i="1"/>
  <c r="P135" i="1"/>
  <c r="P107" i="1"/>
  <c r="P134" i="1"/>
  <c r="P133" i="1"/>
  <c r="P131" i="1"/>
  <c r="P102" i="1"/>
  <c r="P106" i="1"/>
  <c r="P69" i="1"/>
  <c r="K106" i="1" l="1"/>
  <c r="P101" i="1"/>
  <c r="P130" i="1"/>
  <c r="M37" i="1"/>
  <c r="Q37" i="1"/>
  <c r="K38" i="1"/>
  <c r="L38" i="1" s="1"/>
  <c r="K39" i="1" s="1"/>
  <c r="L39" i="1" s="1"/>
  <c r="P100" i="1"/>
  <c r="P129" i="1"/>
  <c r="P67" i="1"/>
  <c r="P36" i="1"/>
  <c r="P128" i="1"/>
  <c r="P65" i="1"/>
  <c r="P35" i="1"/>
  <c r="P96" i="1"/>
  <c r="P63" i="1"/>
  <c r="P34" i="1"/>
  <c r="P95" i="1"/>
  <c r="P32" i="1"/>
  <c r="P62" i="1"/>
  <c r="P30" i="1"/>
  <c r="P60" i="1"/>
  <c r="P29" i="1"/>
  <c r="P28" i="1"/>
  <c r="P92" i="1"/>
  <c r="P59" i="1"/>
  <c r="P27" i="1"/>
  <c r="P26" i="1"/>
  <c r="P125" i="1"/>
  <c r="P98" i="1" l="1"/>
  <c r="P97" i="1"/>
  <c r="P61" i="1"/>
  <c r="Q151" i="1"/>
  <c r="U14" i="1"/>
  <c r="K125" i="1"/>
  <c r="C20" i="1" l="1"/>
  <c r="C136" i="1"/>
  <c r="C21" i="1" l="1"/>
  <c r="C174" i="1"/>
  <c r="C173" i="1"/>
  <c r="C172" i="1"/>
  <c r="C169" i="1"/>
  <c r="C168" i="1"/>
  <c r="C167" i="1"/>
  <c r="C166" i="1"/>
  <c r="C165" i="1"/>
  <c r="C164" i="1"/>
  <c r="C163" i="1"/>
  <c r="C160" i="1"/>
  <c r="C158" i="1"/>
  <c r="C157" i="1"/>
  <c r="C155" i="1"/>
  <c r="C153" i="1"/>
  <c r="C152" i="1"/>
  <c r="A152" i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1" i="1" s="1"/>
  <c r="A172" i="1" s="1"/>
  <c r="A173" i="1" s="1"/>
  <c r="A174" i="1" s="1"/>
  <c r="A175" i="1" s="1"/>
  <c r="A176" i="1" s="1"/>
  <c r="A177" i="1" s="1"/>
  <c r="A178" i="1" s="1"/>
  <c r="E145" i="1"/>
  <c r="C141" i="1"/>
  <c r="C140" i="1"/>
  <c r="C139" i="1"/>
  <c r="E138" i="1"/>
  <c r="E137" i="1"/>
  <c r="E136" i="1"/>
  <c r="C135" i="1"/>
  <c r="C134" i="1"/>
  <c r="C133" i="1"/>
  <c r="C132" i="1"/>
  <c r="C131" i="1"/>
  <c r="C130" i="1"/>
  <c r="C127" i="1"/>
  <c r="C125" i="1"/>
  <c r="L125" i="1" s="1"/>
  <c r="Q125" i="1" s="1"/>
  <c r="C122" i="1"/>
  <c r="C120" i="1"/>
  <c r="E119" i="1"/>
  <c r="C119" i="1"/>
  <c r="A119" i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8" i="1" s="1"/>
  <c r="A139" i="1" s="1"/>
  <c r="A140" i="1" s="1"/>
  <c r="A141" i="1" s="1"/>
  <c r="A142" i="1" s="1"/>
  <c r="A143" i="1" s="1"/>
  <c r="A144" i="1" s="1"/>
  <c r="A145" i="1" s="1"/>
  <c r="E112" i="1"/>
  <c r="C108" i="1"/>
  <c r="C107" i="1"/>
  <c r="C106" i="1"/>
  <c r="E105" i="1"/>
  <c r="E104" i="1"/>
  <c r="E103" i="1"/>
  <c r="C102" i="1"/>
  <c r="C101" i="1"/>
  <c r="C100" i="1"/>
  <c r="C99" i="1"/>
  <c r="C98" i="1"/>
  <c r="C97" i="1"/>
  <c r="C92" i="1"/>
  <c r="C89" i="1"/>
  <c r="C87" i="1"/>
  <c r="E86" i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4" i="1" s="1"/>
  <c r="A105" i="1" s="1"/>
  <c r="A106" i="1" s="1"/>
  <c r="A107" i="1" s="1"/>
  <c r="A108" i="1" s="1"/>
  <c r="A109" i="1" s="1"/>
  <c r="A110" i="1" s="1"/>
  <c r="A111" i="1" s="1"/>
  <c r="A112" i="1" s="1"/>
  <c r="C75" i="1"/>
  <c r="C74" i="1"/>
  <c r="C73" i="1"/>
  <c r="C68" i="1"/>
  <c r="C67" i="1"/>
  <c r="C66" i="1"/>
  <c r="C65" i="1"/>
  <c r="C64" i="1"/>
  <c r="C59" i="1"/>
  <c r="C56" i="1"/>
  <c r="C54" i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1" i="1" s="1"/>
  <c r="A72" i="1" s="1"/>
  <c r="A73" i="1" s="1"/>
  <c r="A74" i="1" s="1"/>
  <c r="A75" i="1" s="1"/>
  <c r="A76" i="1" s="1"/>
  <c r="A77" i="1" s="1"/>
  <c r="A78" i="1" s="1"/>
  <c r="A79" i="1" s="1"/>
  <c r="A20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C41" i="1"/>
  <c r="C40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A4" i="1"/>
  <c r="L68" i="1" l="1"/>
  <c r="M125" i="1"/>
  <c r="L152" i="1"/>
  <c r="Q152" i="1" s="1"/>
  <c r="C179" i="1"/>
  <c r="C146" i="1"/>
  <c r="C113" i="1"/>
  <c r="C80" i="1"/>
  <c r="B8" i="2"/>
  <c r="B7" i="2"/>
  <c r="B6" i="2"/>
  <c r="B5" i="2"/>
  <c r="B4" i="2"/>
  <c r="R4" i="1"/>
  <c r="M152" i="1" l="1"/>
  <c r="L153" i="1"/>
  <c r="Q153" i="1" s="1"/>
  <c r="L154" i="1"/>
  <c r="Q154" i="1" s="1"/>
  <c r="B9" i="2"/>
  <c r="E20" i="1"/>
  <c r="M154" i="1" l="1"/>
  <c r="M153" i="1"/>
  <c r="K155" i="1"/>
  <c r="L155" i="1" s="1"/>
  <c r="Q155" i="1" s="1"/>
  <c r="M155" i="1" l="1"/>
  <c r="K156" i="1"/>
  <c r="L156" i="1" s="1"/>
  <c r="Q156" i="1" s="1"/>
  <c r="M156" i="1" l="1"/>
  <c r="K157" i="1"/>
  <c r="L157" i="1" s="1"/>
  <c r="Q157" i="1" s="1"/>
  <c r="K158" i="1" l="1"/>
  <c r="L158" i="1" s="1"/>
  <c r="Q158" i="1" s="1"/>
  <c r="M157" i="1"/>
  <c r="K92" i="1"/>
  <c r="L92" i="1" s="1"/>
  <c r="Q92" i="1" s="1"/>
  <c r="K59" i="1"/>
  <c r="L59" i="1" s="1"/>
  <c r="Q59" i="1" s="1"/>
  <c r="K159" i="1" l="1"/>
  <c r="L159" i="1" s="1"/>
  <c r="Q159" i="1" s="1"/>
  <c r="M158" i="1"/>
  <c r="K126" i="1"/>
  <c r="L126" i="1" s="1"/>
  <c r="Q126" i="1" s="1"/>
  <c r="M92" i="1"/>
  <c r="K93" i="1"/>
  <c r="L93" i="1" s="1"/>
  <c r="Q93" i="1" s="1"/>
  <c r="M59" i="1"/>
  <c r="K60" i="1"/>
  <c r="L60" i="1" s="1"/>
  <c r="Q60" i="1" s="1"/>
  <c r="M159" i="1" l="1"/>
  <c r="K160" i="1"/>
  <c r="L160" i="1" s="1"/>
  <c r="Q160" i="1" s="1"/>
  <c r="M126" i="1"/>
  <c r="K127" i="1"/>
  <c r="L127" i="1" s="1"/>
  <c r="Q127" i="1" s="1"/>
  <c r="M93" i="1"/>
  <c r="K94" i="1"/>
  <c r="L94" i="1" s="1"/>
  <c r="Q94" i="1" s="1"/>
  <c r="M60" i="1"/>
  <c r="K61" i="1"/>
  <c r="L61" i="1" s="1"/>
  <c r="Q61" i="1" s="1"/>
  <c r="M160" i="1" l="1"/>
  <c r="K161" i="1"/>
  <c r="L161" i="1" s="1"/>
  <c r="Q161" i="1" s="1"/>
  <c r="M127" i="1"/>
  <c r="K128" i="1"/>
  <c r="L128" i="1" s="1"/>
  <c r="Q128" i="1" s="1"/>
  <c r="K95" i="1"/>
  <c r="L95" i="1" s="1"/>
  <c r="Q95" i="1" s="1"/>
  <c r="M94" i="1"/>
  <c r="M61" i="1"/>
  <c r="K62" i="1"/>
  <c r="L62" i="1" s="1"/>
  <c r="Q62" i="1" s="1"/>
  <c r="M161" i="1" l="1"/>
  <c r="K162" i="1"/>
  <c r="L162" i="1" s="1"/>
  <c r="Q162" i="1" s="1"/>
  <c r="M128" i="1"/>
  <c r="K129" i="1"/>
  <c r="L129" i="1" s="1"/>
  <c r="Q129" i="1" s="1"/>
  <c r="M95" i="1"/>
  <c r="K96" i="1"/>
  <c r="L96" i="1" s="1"/>
  <c r="Q96" i="1" s="1"/>
  <c r="M62" i="1"/>
  <c r="K63" i="1"/>
  <c r="L63" i="1" s="1"/>
  <c r="Q63" i="1" s="1"/>
  <c r="M162" i="1" l="1"/>
  <c r="K163" i="1"/>
  <c r="L163" i="1" s="1"/>
  <c r="Q163" i="1" s="1"/>
  <c r="M129" i="1"/>
  <c r="K130" i="1"/>
  <c r="L130" i="1" s="1"/>
  <c r="Q130" i="1" s="1"/>
  <c r="M96" i="1"/>
  <c r="K97" i="1"/>
  <c r="L97" i="1" s="1"/>
  <c r="Q97" i="1" s="1"/>
  <c r="M63" i="1"/>
  <c r="K64" i="1"/>
  <c r="L64" i="1" s="1"/>
  <c r="Q64" i="1" s="1"/>
  <c r="M163" i="1" l="1"/>
  <c r="K164" i="1"/>
  <c r="L164" i="1" s="1"/>
  <c r="Q164" i="1" s="1"/>
  <c r="M130" i="1"/>
  <c r="K131" i="1"/>
  <c r="L131" i="1" s="1"/>
  <c r="Q131" i="1" s="1"/>
  <c r="M97" i="1"/>
  <c r="K98" i="1"/>
  <c r="L98" i="1" s="1"/>
  <c r="Q98" i="1" s="1"/>
  <c r="M64" i="1"/>
  <c r="K65" i="1"/>
  <c r="L65" i="1" s="1"/>
  <c r="Q65" i="1" s="1"/>
  <c r="K165" i="1" l="1"/>
  <c r="L165" i="1" s="1"/>
  <c r="Q165" i="1" s="1"/>
  <c r="M164" i="1"/>
  <c r="M131" i="1"/>
  <c r="K132" i="1"/>
  <c r="L132" i="1" s="1"/>
  <c r="Q132" i="1" s="1"/>
  <c r="M98" i="1"/>
  <c r="K99" i="1"/>
  <c r="L99" i="1" s="1"/>
  <c r="Q99" i="1" s="1"/>
  <c r="M65" i="1"/>
  <c r="K66" i="1"/>
  <c r="L66" i="1" s="1"/>
  <c r="Q66" i="1" s="1"/>
  <c r="M165" i="1" l="1"/>
  <c r="K166" i="1"/>
  <c r="L166" i="1" s="1"/>
  <c r="Q166" i="1" s="1"/>
  <c r="M132" i="1"/>
  <c r="K133" i="1"/>
  <c r="L133" i="1" s="1"/>
  <c r="Q133" i="1" s="1"/>
  <c r="M99" i="1"/>
  <c r="K100" i="1"/>
  <c r="L100" i="1" s="1"/>
  <c r="Q100" i="1" s="1"/>
  <c r="M66" i="1"/>
  <c r="K67" i="1"/>
  <c r="L67" i="1" s="1"/>
  <c r="Q67" i="1" l="1"/>
  <c r="K71" i="1"/>
  <c r="L71" i="1" s="1"/>
  <c r="M166" i="1"/>
  <c r="L167" i="1"/>
  <c r="Q167" i="1" s="1"/>
  <c r="M133" i="1"/>
  <c r="K134" i="1"/>
  <c r="L134" i="1" s="1"/>
  <c r="Q134" i="1" s="1"/>
  <c r="M100" i="1"/>
  <c r="K101" i="1"/>
  <c r="L101" i="1" s="1"/>
  <c r="Q101" i="1" s="1"/>
  <c r="M67" i="1"/>
  <c r="Q68" i="1"/>
  <c r="M167" i="1" l="1"/>
  <c r="K168" i="1"/>
  <c r="L168" i="1" s="1"/>
  <c r="Q168" i="1" s="1"/>
  <c r="M134" i="1"/>
  <c r="K135" i="1"/>
  <c r="L135" i="1" s="1"/>
  <c r="Q135" i="1" s="1"/>
  <c r="M101" i="1"/>
  <c r="K102" i="1"/>
  <c r="L102" i="1" s="1"/>
  <c r="Q102" i="1" s="1"/>
  <c r="M68" i="1"/>
  <c r="K69" i="1"/>
  <c r="L69" i="1" s="1"/>
  <c r="Q69" i="1" l="1"/>
  <c r="K77" i="1"/>
  <c r="M168" i="1"/>
  <c r="M135" i="1"/>
  <c r="K137" i="1"/>
  <c r="M102" i="1"/>
  <c r="K104" i="1"/>
  <c r="L104" i="1" s="1"/>
  <c r="M69" i="1"/>
  <c r="L170" i="1" l="1"/>
  <c r="Q170" i="1" s="1"/>
  <c r="L171" i="1"/>
  <c r="Q171" i="1" s="1"/>
  <c r="L136" i="1"/>
  <c r="L137" i="1"/>
  <c r="Q137" i="1" s="1"/>
  <c r="L138" i="1"/>
  <c r="Q104" i="1"/>
  <c r="Q105" i="1"/>
  <c r="Q71" i="1"/>
  <c r="Q138" i="1" l="1"/>
  <c r="K144" i="1"/>
  <c r="Q136" i="1"/>
  <c r="K139" i="1"/>
  <c r="L139" i="1" s="1"/>
  <c r="Q139" i="1" s="1"/>
  <c r="L72" i="1"/>
  <c r="M71" i="1"/>
  <c r="M104" i="1"/>
  <c r="M137" i="1"/>
  <c r="M170" i="1"/>
  <c r="M171" i="1"/>
  <c r="K172" i="1"/>
  <c r="L172" i="1" s="1"/>
  <c r="Q172" i="1" s="1"/>
  <c r="M136" i="1"/>
  <c r="M138" i="1"/>
  <c r="M105" i="1"/>
  <c r="Q72" i="1" l="1"/>
  <c r="K73" i="1"/>
  <c r="L73" i="1" s="1"/>
  <c r="Q73" i="1" s="1"/>
  <c r="L106" i="1"/>
  <c r="M106" i="1" s="1"/>
  <c r="M72" i="1"/>
  <c r="M172" i="1"/>
  <c r="K173" i="1"/>
  <c r="L173" i="1" s="1"/>
  <c r="Q173" i="1" s="1"/>
  <c r="M139" i="1"/>
  <c r="K140" i="1"/>
  <c r="L140" i="1" s="1"/>
  <c r="M73" i="1" l="1"/>
  <c r="K74" i="1"/>
  <c r="L74" i="1" s="1"/>
  <c r="Q140" i="1"/>
  <c r="K143" i="1"/>
  <c r="Q74" i="1"/>
  <c r="K78" i="1"/>
  <c r="K107" i="1"/>
  <c r="L107" i="1" s="1"/>
  <c r="Q106" i="1"/>
  <c r="M173" i="1"/>
  <c r="Q175" i="1"/>
  <c r="M140" i="1"/>
  <c r="Q141" i="1"/>
  <c r="Q142" i="1"/>
  <c r="Q76" i="1"/>
  <c r="M74" i="1"/>
  <c r="Q107" i="1" l="1"/>
  <c r="Q108" i="1"/>
  <c r="M107" i="1"/>
  <c r="M141" i="1"/>
  <c r="M175" i="1"/>
  <c r="K176" i="1"/>
  <c r="L176" i="1" s="1"/>
  <c r="Q176" i="1" s="1"/>
  <c r="M142" i="1"/>
  <c r="L143" i="1"/>
  <c r="Q143" i="1" s="1"/>
  <c r="L77" i="1"/>
  <c r="Q77" i="1" s="1"/>
  <c r="M176" i="1" l="1"/>
  <c r="K177" i="1"/>
  <c r="L177" i="1" s="1"/>
  <c r="Q177" i="1" s="1"/>
  <c r="M143" i="1"/>
  <c r="L144" i="1"/>
  <c r="Q144" i="1" s="1"/>
  <c r="L78" i="1"/>
  <c r="Q78" i="1" s="1"/>
  <c r="M77" i="1"/>
  <c r="M109" i="1" l="1"/>
  <c r="Q109" i="1"/>
  <c r="M177" i="1"/>
  <c r="K178" i="1"/>
  <c r="L178" i="1" s="1"/>
  <c r="Q178" i="1" s="1"/>
  <c r="M144" i="1"/>
  <c r="K145" i="1"/>
  <c r="L145" i="1" s="1"/>
  <c r="Q145" i="1" s="1"/>
  <c r="M78" i="1"/>
  <c r="K79" i="1"/>
  <c r="L79" i="1" s="1"/>
  <c r="Q79" i="1" s="1"/>
  <c r="L110" i="1" l="1"/>
  <c r="M79" i="1"/>
  <c r="M145" i="1"/>
  <c r="M178" i="1"/>
  <c r="A37" i="1"/>
  <c r="M110" i="1" l="1"/>
  <c r="K111" i="1"/>
  <c r="Q110" i="1"/>
  <c r="A39" i="1"/>
  <c r="A40" i="1" s="1"/>
  <c r="A41" i="1" s="1"/>
  <c r="A42" i="1" s="1"/>
  <c r="L111" i="1" l="1"/>
  <c r="Q111" i="1" s="1"/>
  <c r="A43" i="1"/>
  <c r="A44" i="1" s="1"/>
  <c r="A45" i="1" s="1"/>
  <c r="A46" i="1" s="1"/>
  <c r="C47" i="1"/>
  <c r="L20" i="1"/>
  <c r="Q20" i="1" s="1"/>
  <c r="M20" i="1"/>
  <c r="D72" i="1" l="1"/>
  <c r="E72" i="1" s="1"/>
  <c r="D71" i="1"/>
  <c r="E71" i="1" s="1"/>
  <c r="D57" i="1"/>
  <c r="E57" i="1" s="1"/>
  <c r="D55" i="1"/>
  <c r="E55" i="1" s="1"/>
  <c r="D53" i="1"/>
  <c r="D77" i="1"/>
  <c r="E77" i="1" s="1"/>
  <c r="D60" i="1"/>
  <c r="E60" i="1" s="1"/>
  <c r="D58" i="1"/>
  <c r="E58" i="1" s="1"/>
  <c r="D61" i="1"/>
  <c r="E61" i="1" s="1"/>
  <c r="D62" i="1"/>
  <c r="E62" i="1" s="1"/>
  <c r="D63" i="1"/>
  <c r="E63" i="1" s="1"/>
  <c r="D69" i="1"/>
  <c r="E69" i="1" s="1"/>
  <c r="D70" i="1"/>
  <c r="E70" i="1" s="1"/>
  <c r="D78" i="1"/>
  <c r="E78" i="1" s="1"/>
  <c r="D79" i="1"/>
  <c r="E79" i="1" s="1"/>
  <c r="D75" i="1"/>
  <c r="E75" i="1" s="1"/>
  <c r="D56" i="1"/>
  <c r="E56" i="1" s="1"/>
  <c r="D59" i="1"/>
  <c r="E59" i="1" s="1"/>
  <c r="D64" i="1"/>
  <c r="E64" i="1" s="1"/>
  <c r="D65" i="1"/>
  <c r="E65" i="1" s="1"/>
  <c r="D66" i="1"/>
  <c r="E66" i="1" s="1"/>
  <c r="D67" i="1"/>
  <c r="E67" i="1" s="1"/>
  <c r="D68" i="1"/>
  <c r="E68" i="1" s="1"/>
  <c r="D73" i="1"/>
  <c r="E73" i="1" s="1"/>
  <c r="D74" i="1"/>
  <c r="E74" i="1" s="1"/>
  <c r="M111" i="1"/>
  <c r="D46" i="1"/>
  <c r="E46" i="1" s="1"/>
  <c r="D41" i="1"/>
  <c r="E41" i="1" s="1"/>
  <c r="D40" i="1"/>
  <c r="E40" i="1" s="1"/>
  <c r="D39" i="1"/>
  <c r="E39" i="1" s="1"/>
  <c r="D38" i="1"/>
  <c r="E38" i="1" s="1"/>
  <c r="D37" i="1"/>
  <c r="E37" i="1" s="1"/>
  <c r="D165" i="1"/>
  <c r="E165" i="1" s="1"/>
  <c r="D171" i="1"/>
  <c r="E171" i="1" s="1"/>
  <c r="D170" i="1"/>
  <c r="E170" i="1" s="1"/>
  <c r="D173" i="1"/>
  <c r="E173" i="1" s="1"/>
  <c r="D174" i="1"/>
  <c r="E174" i="1" s="1"/>
  <c r="D178" i="1"/>
  <c r="E178" i="1" s="1"/>
  <c r="D169" i="1"/>
  <c r="E169" i="1" s="1"/>
  <c r="D172" i="1"/>
  <c r="E172" i="1" s="1"/>
  <c r="Q21" i="1"/>
  <c r="D161" i="1"/>
  <c r="E161" i="1" s="1"/>
  <c r="D44" i="1"/>
  <c r="E44" i="1" s="1"/>
  <c r="D130" i="1"/>
  <c r="E130" i="1" s="1"/>
  <c r="D92" i="1"/>
  <c r="E92" i="1" s="1"/>
  <c r="D126" i="1"/>
  <c r="E126" i="1" s="1"/>
  <c r="D140" i="1"/>
  <c r="E140" i="1" s="1"/>
  <c r="D106" i="1"/>
  <c r="E106" i="1" s="1"/>
  <c r="D25" i="1"/>
  <c r="E25" i="1" s="1"/>
  <c r="D97" i="1"/>
  <c r="E97" i="1" s="1"/>
  <c r="D154" i="1"/>
  <c r="E154" i="1" s="1"/>
  <c r="D31" i="1"/>
  <c r="E31" i="1" s="1"/>
  <c r="D100" i="1"/>
  <c r="E100" i="1" s="1"/>
  <c r="D21" i="1"/>
  <c r="D87" i="1"/>
  <c r="E87" i="1" s="1"/>
  <c r="D159" i="1"/>
  <c r="E159" i="1" s="1"/>
  <c r="D28" i="1"/>
  <c r="E28" i="1" s="1"/>
  <c r="D163" i="1"/>
  <c r="E163" i="1" s="1"/>
  <c r="D177" i="1"/>
  <c r="E177" i="1" s="1"/>
  <c r="D129" i="1"/>
  <c r="E129" i="1" s="1"/>
  <c r="D23" i="1"/>
  <c r="E23" i="1" s="1"/>
  <c r="D24" i="1"/>
  <c r="E24" i="1" s="1"/>
  <c r="D176" i="1"/>
  <c r="E176" i="1" s="1"/>
  <c r="D89" i="1"/>
  <c r="E89" i="1" s="1"/>
  <c r="D153" i="1"/>
  <c r="E153" i="1" s="1"/>
  <c r="D32" i="1"/>
  <c r="E32" i="1" s="1"/>
  <c r="D128" i="1"/>
  <c r="E128" i="1" s="1"/>
  <c r="D99" i="1"/>
  <c r="E99" i="1" s="1"/>
  <c r="D54" i="1"/>
  <c r="E54" i="1" s="1"/>
  <c r="D94" i="1"/>
  <c r="E94" i="1" s="1"/>
  <c r="D168" i="1"/>
  <c r="E168" i="1" s="1"/>
  <c r="D90" i="1"/>
  <c r="E90" i="1" s="1"/>
  <c r="D167" i="1"/>
  <c r="E167" i="1" s="1"/>
  <c r="D120" i="1"/>
  <c r="E120" i="1" s="1"/>
  <c r="D30" i="1"/>
  <c r="E30" i="1" s="1"/>
  <c r="D166" i="1"/>
  <c r="E166" i="1" s="1"/>
  <c r="D122" i="1"/>
  <c r="E122" i="1" s="1"/>
  <c r="D36" i="1"/>
  <c r="E36" i="1" s="1"/>
  <c r="D144" i="1"/>
  <c r="E144" i="1" s="1"/>
  <c r="D34" i="1"/>
  <c r="E34" i="1" s="1"/>
  <c r="D125" i="1"/>
  <c r="E125" i="1" s="1"/>
  <c r="D107" i="1"/>
  <c r="E107" i="1" s="1"/>
  <c r="D45" i="1"/>
  <c r="E45" i="1" s="1"/>
  <c r="D124" i="1"/>
  <c r="E124" i="1" s="1"/>
  <c r="D22" i="1"/>
  <c r="E22" i="1" s="1"/>
  <c r="D29" i="1"/>
  <c r="E29" i="1" s="1"/>
  <c r="D160" i="1"/>
  <c r="E160" i="1" s="1"/>
  <c r="D157" i="1"/>
  <c r="E157" i="1" s="1"/>
  <c r="D33" i="1"/>
  <c r="E33" i="1" s="1"/>
  <c r="D88" i="1"/>
  <c r="E88" i="1" s="1"/>
  <c r="D127" i="1"/>
  <c r="E127" i="1" s="1"/>
  <c r="D132" i="1"/>
  <c r="E132" i="1" s="1"/>
  <c r="D93" i="1"/>
  <c r="E93" i="1" s="1"/>
  <c r="D95" i="1"/>
  <c r="E95" i="1" s="1"/>
  <c r="Q22" i="1"/>
  <c r="D139" i="1"/>
  <c r="E139" i="1" s="1"/>
  <c r="D156" i="1"/>
  <c r="E156" i="1" s="1"/>
  <c r="D27" i="1"/>
  <c r="E27" i="1" s="1"/>
  <c r="D155" i="1"/>
  <c r="E155" i="1" s="1"/>
  <c r="D91" i="1"/>
  <c r="E91" i="1" s="1"/>
  <c r="D102" i="1"/>
  <c r="E102" i="1" s="1"/>
  <c r="D35" i="1"/>
  <c r="E35" i="1" s="1"/>
  <c r="D133" i="1"/>
  <c r="E133" i="1" s="1"/>
  <c r="D26" i="1"/>
  <c r="E26" i="1" s="1"/>
  <c r="D164" i="1"/>
  <c r="E164" i="1" s="1"/>
  <c r="D162" i="1"/>
  <c r="E162" i="1" s="1"/>
  <c r="D123" i="1"/>
  <c r="E123" i="1" s="1"/>
  <c r="D134" i="1"/>
  <c r="E134" i="1" s="1"/>
  <c r="D158" i="1"/>
  <c r="E158" i="1" s="1"/>
  <c r="D131" i="1"/>
  <c r="E131" i="1" s="1"/>
  <c r="D96" i="1"/>
  <c r="E96" i="1" s="1"/>
  <c r="D121" i="1"/>
  <c r="E121" i="1" s="1"/>
  <c r="D143" i="1"/>
  <c r="E143" i="1" s="1"/>
  <c r="D135" i="1"/>
  <c r="E135" i="1" s="1"/>
  <c r="D101" i="1"/>
  <c r="E101" i="1" s="1"/>
  <c r="D98" i="1"/>
  <c r="E98" i="1" s="1"/>
  <c r="E53" i="1" l="1"/>
  <c r="D80" i="1"/>
  <c r="L112" i="1"/>
  <c r="M112" i="1" s="1"/>
  <c r="D179" i="1"/>
  <c r="K23" i="1"/>
  <c r="L23" i="1" s="1"/>
  <c r="Q23" i="1" s="1"/>
  <c r="M21" i="1"/>
  <c r="E21" i="1"/>
  <c r="D47" i="1"/>
  <c r="M22" i="1"/>
  <c r="D146" i="1"/>
  <c r="E146" i="1" s="1"/>
  <c r="C7" i="2" s="1"/>
  <c r="D113" i="1"/>
  <c r="E113" i="1" s="1"/>
  <c r="C6" i="2" s="1"/>
  <c r="E80" i="1" l="1"/>
  <c r="C5" i="2" s="1"/>
  <c r="D5" i="2" s="1"/>
  <c r="Q112" i="1"/>
  <c r="E179" i="1"/>
  <c r="C8" i="2" s="1"/>
  <c r="D8" i="2" s="1"/>
  <c r="M23" i="1"/>
  <c r="K24" i="1"/>
  <c r="L24" i="1" s="1"/>
  <c r="Q24" i="1" s="1"/>
  <c r="E47" i="1"/>
  <c r="C4" i="2" s="1"/>
  <c r="D4" i="2" s="1"/>
  <c r="D7" i="2"/>
  <c r="D6" i="2"/>
  <c r="K25" i="1" l="1"/>
  <c r="L25" i="1" s="1"/>
  <c r="Q25" i="1" s="1"/>
  <c r="M24" i="1"/>
  <c r="C9" i="2"/>
  <c r="D9" i="2" s="1"/>
  <c r="K26" i="1"/>
  <c r="L26" i="1" s="1"/>
  <c r="Q26" i="1" s="1"/>
  <c r="M25" i="1"/>
  <c r="K27" i="1" l="1"/>
  <c r="L27" i="1" s="1"/>
  <c r="Q27" i="1" s="1"/>
  <c r="M26" i="1"/>
  <c r="K28" i="1" l="1"/>
  <c r="L28" i="1" s="1"/>
  <c r="Q28" i="1" s="1"/>
  <c r="M27" i="1"/>
  <c r="M28" i="1" l="1"/>
  <c r="K29" i="1"/>
  <c r="L29" i="1" s="1"/>
  <c r="Q29" i="1" s="1"/>
  <c r="K30" i="1" l="1"/>
  <c r="L30" i="1" s="1"/>
  <c r="Q30" i="1" s="1"/>
  <c r="M29" i="1"/>
  <c r="K31" i="1" l="1"/>
  <c r="L31" i="1" s="1"/>
  <c r="Q31" i="1" s="1"/>
  <c r="M30" i="1"/>
  <c r="K32" i="1" l="1"/>
  <c r="L32" i="1" s="1"/>
  <c r="Q32" i="1" s="1"/>
  <c r="M31" i="1"/>
  <c r="K33" i="1" l="1"/>
  <c r="L33" i="1" s="1"/>
  <c r="Q33" i="1" s="1"/>
  <c r="M32" i="1"/>
  <c r="K34" i="1" l="1"/>
  <c r="L34" i="1" s="1"/>
  <c r="Q34" i="1" s="1"/>
  <c r="M33" i="1"/>
  <c r="K35" i="1" l="1"/>
  <c r="L35" i="1" s="1"/>
  <c r="Q35" i="1" s="1"/>
  <c r="M34" i="1"/>
  <c r="M35" i="1" l="1"/>
  <c r="K36" i="1"/>
  <c r="L36" i="1" s="1"/>
  <c r="Q36" i="1" s="1"/>
  <c r="M36" i="1" l="1"/>
  <c r="Q38" i="1" l="1"/>
  <c r="Q39" i="1" l="1"/>
  <c r="K40" i="1"/>
  <c r="L40" i="1" s="1"/>
  <c r="M38" i="1"/>
  <c r="M39" i="1"/>
  <c r="Q40" i="1"/>
  <c r="M40" i="1" l="1"/>
  <c r="K41" i="1"/>
  <c r="L41" i="1" s="1"/>
  <c r="Q41" i="1" l="1"/>
  <c r="K44" i="1"/>
  <c r="K42" i="1"/>
  <c r="Q43" i="1"/>
  <c r="M41" i="1"/>
  <c r="L44" i="1" l="1"/>
  <c r="Q44" i="1" s="1"/>
  <c r="M44" i="1" l="1"/>
  <c r="K45" i="1"/>
  <c r="L45" i="1" s="1"/>
  <c r="Q45" i="1" s="1"/>
  <c r="K46" i="1" l="1"/>
  <c r="L46" i="1" s="1"/>
  <c r="Q46" i="1" s="1"/>
  <c r="M45" i="1"/>
  <c r="M46" i="1" l="1"/>
</calcChain>
</file>

<file path=xl/sharedStrings.xml><?xml version="1.0" encoding="utf-8"?>
<sst xmlns="http://schemas.openxmlformats.org/spreadsheetml/2006/main" count="365" uniqueCount="121">
  <si>
    <t>Day 2 (00:00):</t>
  </si>
  <si>
    <t>No</t>
  </si>
  <si>
    <t>Work Description</t>
  </si>
  <si>
    <t>No. Hours</t>
  </si>
  <si>
    <t>Wt. %P</t>
  </si>
  <si>
    <t>Wt.%PA</t>
  </si>
  <si>
    <t>% Progress</t>
  </si>
  <si>
    <t>Date (Plan)</t>
  </si>
  <si>
    <t>Date of Actual Completion</t>
  </si>
  <si>
    <t>Time (Plan-Target)</t>
  </si>
  <si>
    <t>Total Time (Plan)</t>
  </si>
  <si>
    <t>Time (vs. Actual)</t>
  </si>
  <si>
    <t>Total Time Completed</t>
  </si>
  <si>
    <t>Progress Status</t>
  </si>
  <si>
    <t>Remarks</t>
  </si>
  <si>
    <t>Start</t>
  </si>
  <si>
    <t>End</t>
  </si>
  <si>
    <t>Pre-Shutdown Arrangement (Mobilization Works)</t>
  </si>
  <si>
    <t>T-48 Hours</t>
  </si>
  <si>
    <t>Track removal and evacuation of panels (line 1)</t>
  </si>
  <si>
    <t>Track removal and evacuation of panels (line 2)</t>
  </si>
  <si>
    <t>Ballast removal</t>
  </si>
  <si>
    <t>Cutting and removal of material around existing culvert</t>
  </si>
  <si>
    <t>Demolition of existing culvert</t>
  </si>
  <si>
    <t>Surface preparation for the precast culvert installation</t>
  </si>
  <si>
    <t>Installation of new precast culvert</t>
  </si>
  <si>
    <t>Apply sealant to the culvert</t>
  </si>
  <si>
    <t>Backfill around the culvert till subgrade level</t>
  </si>
  <si>
    <t>First layer of ballast (line 1)</t>
  </si>
  <si>
    <t>Track installation (line 1)</t>
  </si>
  <si>
    <t>ATW - 2U (out of destressing) (line 1)</t>
  </si>
  <si>
    <t>First and Second Ballasting/Tamping/Stabilization/Profiling (line 1)</t>
  </si>
  <si>
    <t>Final Ballasting/Tamping/Stabilization/Profiling (line 1)</t>
  </si>
  <si>
    <t>Finishing (including final grinding, welding stamp, UT, inspection, etc.)</t>
  </si>
  <si>
    <t>Progress</t>
  </si>
  <si>
    <r>
      <t>Time Difference (</t>
    </r>
    <r>
      <rPr>
        <b/>
        <sz val="12"/>
        <color theme="9"/>
        <rFont val="Tenorite"/>
      </rPr>
      <t>Ahead</t>
    </r>
    <r>
      <rPr>
        <b/>
        <sz val="12"/>
        <color theme="0"/>
        <rFont val="Tenorite"/>
      </rPr>
      <t xml:space="preserve">, </t>
    </r>
    <r>
      <rPr>
        <b/>
        <sz val="12"/>
        <color theme="9"/>
        <rFont val="Tenorite"/>
      </rPr>
      <t>On-Time,</t>
    </r>
    <r>
      <rPr>
        <b/>
        <sz val="12"/>
        <color theme="0"/>
        <rFont val="Tenorite"/>
      </rPr>
      <t xml:space="preserve"> </t>
    </r>
    <r>
      <rPr>
        <b/>
        <sz val="12"/>
        <color rgb="FFFF0000"/>
        <rFont val="Tenorite"/>
      </rPr>
      <t>Delayed</t>
    </r>
    <r>
      <rPr>
        <b/>
        <sz val="12"/>
        <color theme="0"/>
        <rFont val="Tenorite"/>
      </rPr>
      <t>)</t>
    </r>
  </si>
  <si>
    <t>Completed - Ahead of time</t>
  </si>
  <si>
    <t xml:space="preserve">Completed </t>
  </si>
  <si>
    <t>Completed - Delayed</t>
  </si>
  <si>
    <t>In-progress</t>
  </si>
  <si>
    <t>Completed - Ontime</t>
  </si>
  <si>
    <t>Time Remaining :</t>
  </si>
  <si>
    <t>DURATION COMPLETION BY CULVERT</t>
  </si>
  <si>
    <t>OVERALL</t>
  </si>
  <si>
    <t>C070  (132+198)</t>
  </si>
  <si>
    <t>C067  (129+103)</t>
  </si>
  <si>
    <t>C053  (124+585)</t>
  </si>
  <si>
    <t>C052  (124+415)</t>
  </si>
  <si>
    <t>C028  (116+700)</t>
  </si>
  <si>
    <t>Total Hrs (Plan)</t>
  </si>
  <si>
    <t>Culvert</t>
  </si>
  <si>
    <t xml:space="preserve"> Completed</t>
  </si>
  <si>
    <t xml:space="preserve"> Remaining</t>
  </si>
  <si>
    <t>After OTMP pass to location</t>
  </si>
  <si>
    <t>No Work Hours due to tempratare</t>
  </si>
  <si>
    <t>Backfill Subgrade</t>
  </si>
  <si>
    <t>SAR</t>
  </si>
  <si>
    <t>SAUDI ARABIA RAILWAYS</t>
  </si>
  <si>
    <t>Project Controls  |  East West Railway</t>
  </si>
  <si>
    <t>EAST WEST RAILWAY (EWR)   |   CULVERTS REPLACEMENT PHASE 2</t>
  </si>
  <si>
    <t>SHUTDOWN 02  -  PROGRESS REPORT</t>
  </si>
  <si>
    <t>Culverts C028, C052, C053, C067 and C070   |   August 2026</t>
  </si>
  <si>
    <t>SHUTDOWN START</t>
  </si>
  <si>
    <t>SHUTDOWN FINISH</t>
  </si>
  <si>
    <t>PLANNED DURATION</t>
  </si>
  <si>
    <t>WORK LOCATIONS</t>
  </si>
  <si>
    <t>21-Aug-2026</t>
  </si>
  <si>
    <t>22-Aug-2026</t>
  </si>
  <si>
    <t>2 days</t>
  </si>
  <si>
    <t>5 culverts</t>
  </si>
  <si>
    <t>00:00</t>
  </si>
  <si>
    <t>per activity plan</t>
  </si>
  <si>
    <t>KM 116+700 - 132+198</t>
  </si>
  <si>
    <t>NOTE FOR RECONCILIATION</t>
  </si>
  <si>
    <t>Header finish reads 22-Aug-2026 00:00 while the activity plan runs to 23-Aug-2026.</t>
  </si>
  <si>
    <t>Waiting locations read TK 121+000 / TK 131+000 here and TK 120+000 / TK 130+000 in the OTMP narrative.</t>
  </si>
  <si>
    <t>DOCUMENT CONTROL</t>
  </si>
  <si>
    <t>DOCUMENT REF.</t>
  </si>
  <si>
    <t>REVISION</t>
  </si>
  <si>
    <t>DATE</t>
  </si>
  <si>
    <t>STATUS</t>
  </si>
  <si>
    <t>PREPARED BY</t>
  </si>
  <si>
    <t>CHECKED BY</t>
  </si>
  <si>
    <t>APPROVED BY</t>
  </si>
  <si>
    <t>CLIENT / SAR</t>
  </si>
  <si>
    <t>Name / Signature / Date</t>
  </si>
  <si>
    <t>Culverts Replacement Phase 2 - EWR  |  Shutdown 02 Progress Report</t>
  </si>
  <si>
    <t>Page 1 of 1 - Cover</t>
  </si>
  <si>
    <t>SAUDI ARABIA RAILWAYS   |   SAR.COM.SA</t>
  </si>
  <si>
    <t>Rest Hours</t>
  </si>
  <si>
    <t>OTMP Movement</t>
  </si>
  <si>
    <t>ATW - 4U (out of destressing) (line 1)</t>
  </si>
  <si>
    <t>EWR CULVERTS REPLACEMENT PHASE 2 - SHUTDOWN 03 PROGRESS TRACKER</t>
  </si>
  <si>
    <t>AUGUST 2026  |  Culverts: C263, C265, C267, C288, C289</t>
  </si>
  <si>
    <t>LOCATION: C263 , TK 209+025 (Line 1 &amp; Line 3)</t>
  </si>
  <si>
    <t>LOCATION: C265 ,TK 210+525 (Line 1 &amp; Line 3)</t>
  </si>
  <si>
    <t>LOCATION: C267 , TK 212+400 (Line 1 &amp; Line 3)</t>
  </si>
  <si>
    <t>LOCATION: C288 , TK 337+391 (Line 1 &amp; Line 3)</t>
  </si>
  <si>
    <t>LOCATION: C289 , TK 338+491 (Line 1 &amp; Line 3)</t>
  </si>
  <si>
    <r>
      <rPr>
        <b/>
        <sz val="22"/>
        <color theme="0"/>
        <rFont val="Tenorite"/>
      </rPr>
      <t>Start :</t>
    </r>
    <r>
      <rPr>
        <b/>
        <sz val="22"/>
        <color theme="1"/>
        <rFont val="Tenorite"/>
      </rPr>
      <t xml:space="preserve"> </t>
    </r>
    <r>
      <rPr>
        <b/>
        <sz val="22"/>
        <color rgb="FFFFFF00"/>
        <rFont val="Tenorite"/>
      </rPr>
      <t>16-Oct-2026 00.00 AM</t>
    </r>
  </si>
  <si>
    <r>
      <rPr>
        <b/>
        <sz val="24"/>
        <color theme="0"/>
        <rFont val="Tenorite"/>
      </rPr>
      <t>Finish :</t>
    </r>
    <r>
      <rPr>
        <b/>
        <sz val="24"/>
        <color theme="1"/>
        <rFont val="Tenorite"/>
      </rPr>
      <t xml:space="preserve"> </t>
    </r>
    <r>
      <rPr>
        <b/>
        <sz val="24"/>
        <color rgb="FFFFFF00"/>
        <rFont val="Tenorite"/>
      </rPr>
      <t>17-Oct-2026 00.00</t>
    </r>
    <r>
      <rPr>
        <b/>
        <sz val="24"/>
        <color theme="1"/>
        <rFont val="Tenorite"/>
      </rPr>
      <t xml:space="preserve"> </t>
    </r>
    <r>
      <rPr>
        <b/>
        <sz val="24"/>
        <color rgb="FFFFFF00"/>
        <rFont val="Tenorite"/>
      </rPr>
      <t>AM</t>
    </r>
  </si>
  <si>
    <t xml:space="preserve">Date (Actual </t>
  </si>
  <si>
    <t xml:space="preserve">TSO OTMP  moves from station 29 to Main Line 1 </t>
  </si>
  <si>
    <t>Track removal and evacuation of panels (line 3)</t>
  </si>
  <si>
    <t>First layer of ballast (line 3)</t>
  </si>
  <si>
    <t>Track installation (line 3)</t>
  </si>
  <si>
    <t>TSO OTMP  moves from  line 1 to Line 3 TK 121+000</t>
  </si>
  <si>
    <t>First and Second Ballasting/Tamping/Stabilization/Profiling (line 3)</t>
  </si>
  <si>
    <t>Final Ballasting/Tamping/Stabilization/Profiling (line 3)</t>
  </si>
  <si>
    <t>ATW - 2U (out of destressing) (line 3)</t>
  </si>
  <si>
    <t>TSO Back towards station 29</t>
  </si>
  <si>
    <t>Destressing (including 2 ATW) (line 1)</t>
  </si>
  <si>
    <t xml:space="preserve">Destressing (including 2 ATW) (line 3)
</t>
  </si>
  <si>
    <t>TSO  OTMP  moves from station 29 to main Line 1</t>
  </si>
  <si>
    <t>TSO OTMP  moves from  line 1 to Line 3</t>
  </si>
  <si>
    <t>ATW - 4U (out of destressing) (line 3)</t>
  </si>
  <si>
    <t>SABATCO OTMP  moves from station 35 to main Line 1</t>
  </si>
  <si>
    <t>Date (Actual)</t>
  </si>
  <si>
    <t xml:space="preserve">Date of Actual </t>
  </si>
  <si>
    <t>SABATCO OTMP  moves from  line 1 to line 3 (passing by Station 33)</t>
  </si>
  <si>
    <t>OTMP Back towards station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</si>
</sst>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-409]dd\-mmm\-yy\ h:mm\ AM/PM;@"/>
    <numFmt numFmtId="165" formatCode="0.0%"/>
    <numFmt numFmtId="166" formatCode="[$-409]dd\-mmm\-yy;@"/>
    <numFmt numFmtId="167" formatCode="[$-409]d\-mmm\-yy;@"/>
    <numFmt numFmtId="168" formatCode="[$-409]h:mm:ss\ AM/PM;@"/>
    <numFmt numFmtId="169" formatCode="h:mm;@"/>
    <numFmt numFmtId="170" formatCode="[h]:mm:ss;@"/>
    <numFmt numFmtId="171" formatCode="[$-F800]dddd\,\ mmmm\ dd\,\ yyyy"/>
    <numFmt numFmtId="172" formatCode="[$-F400]h:mm:ss\ AM/PM"/>
    <numFmt numFmtId="173" formatCode="[h]:mm"/>
  </numFmts>
  <fonts count="4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6"/>
      <color theme="1"/>
      <name val="Tenorite"/>
    </font>
    <font>
      <b/>
      <sz val="12"/>
      <name val="Tenorite"/>
    </font>
    <font>
      <i/>
      <sz val="10"/>
      <color rgb="FF808080"/>
      <name val="Tenorite"/>
    </font>
    <font>
      <b/>
      <sz val="14"/>
      <color theme="0"/>
      <name val="Tenorite"/>
    </font>
    <font>
      <b/>
      <sz val="35"/>
      <color theme="0"/>
      <name val="Tenorite"/>
    </font>
    <font>
      <sz val="12"/>
      <name val="Tenorite"/>
    </font>
    <font>
      <b/>
      <sz val="14"/>
      <name val="Tenorite"/>
    </font>
    <font>
      <sz val="12"/>
      <color theme="1"/>
      <name val="Tenorite"/>
    </font>
    <font>
      <b/>
      <sz val="12"/>
      <color theme="1"/>
      <name val="Tenorite"/>
    </font>
    <font>
      <b/>
      <sz val="12"/>
      <color rgb="FFFF0000"/>
      <name val="Tenorite"/>
    </font>
    <font>
      <sz val="11"/>
      <color theme="1"/>
      <name val="Tenorite"/>
    </font>
    <font>
      <sz val="11"/>
      <color theme="1"/>
      <name val="Calibri"/>
      <family val="2"/>
      <charset val="178"/>
      <scheme val="minor"/>
    </font>
    <font>
      <b/>
      <sz val="12"/>
      <color theme="0"/>
      <name val="Tenorite"/>
    </font>
    <font>
      <b/>
      <sz val="12"/>
      <color theme="9"/>
      <name val="Tenorite"/>
    </font>
    <font>
      <b/>
      <sz val="8"/>
      <color rgb="FF0000FF"/>
      <name val="Tenorite"/>
    </font>
    <font>
      <b/>
      <sz val="28"/>
      <color theme="1"/>
      <name val="Tenorite"/>
    </font>
    <font>
      <b/>
      <sz val="24"/>
      <color theme="1"/>
      <name val="Tenorite"/>
    </font>
    <font>
      <b/>
      <sz val="24"/>
      <color theme="0"/>
      <name val="Tenorite"/>
    </font>
    <font>
      <b/>
      <sz val="24"/>
      <color rgb="FFFFFF00"/>
      <name val="Tenorite"/>
    </font>
    <font>
      <b/>
      <sz val="22"/>
      <color theme="1"/>
      <name val="Tenorite"/>
    </font>
    <font>
      <b/>
      <sz val="22"/>
      <color theme="0"/>
      <name val="Tenorite"/>
    </font>
    <font>
      <b/>
      <sz val="22"/>
      <color rgb="FFFFFF00"/>
      <name val="Tenorite"/>
    </font>
    <font>
      <b/>
      <sz val="24"/>
      <color rgb="FFFF0000"/>
      <name val="Tenorite"/>
    </font>
    <font>
      <b/>
      <sz val="36"/>
      <color rgb="FFFFFF00"/>
      <name val="Calibri"/>
      <family val="2"/>
    </font>
    <font>
      <b/>
      <sz val="22"/>
      <color rgb="FFFFFF00"/>
      <name val="Calibri"/>
      <family val="2"/>
    </font>
    <font>
      <b/>
      <sz val="13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22"/>
      <color rgb="FF1F2D40"/>
      <name val="Arial"/>
      <family val="2"/>
    </font>
    <font>
      <sz val="8"/>
      <color rgb="FF768692"/>
      <name val="Arial"/>
      <family val="2"/>
    </font>
    <font>
      <b/>
      <sz val="20"/>
      <color rgb="FF00758D"/>
      <name val="Arial"/>
      <family val="2"/>
    </font>
    <font>
      <sz val="10"/>
      <color rgb="FF1F2D40"/>
      <name val="Arial"/>
      <family val="2"/>
    </font>
    <font>
      <b/>
      <sz val="7"/>
      <color rgb="FF00778A"/>
      <name val="Arial"/>
      <family val="2"/>
    </font>
    <font>
      <b/>
      <sz val="10"/>
      <color rgb="FF1F2D40"/>
      <name val="Arial"/>
      <family val="2"/>
    </font>
    <font>
      <sz val="7"/>
      <color rgb="FF768692"/>
      <name val="Arial"/>
      <family val="2"/>
    </font>
    <font>
      <b/>
      <sz val="8"/>
      <color rgb="FFE87722"/>
      <name val="Arial"/>
      <family val="2"/>
    </font>
    <font>
      <sz val="8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1F2D40"/>
      <name val="Arial"/>
      <family val="2"/>
    </font>
    <font>
      <sz val="10"/>
      <color rgb="FF333333"/>
      <name val="Arial"/>
      <family val="2"/>
    </font>
    <font>
      <sz val="8"/>
      <color rgb="FFFFFFFF"/>
      <name val="Arial"/>
      <family val="2"/>
    </font>
    <font>
      <sz val="2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80"/>
        <bgColor rgb="FF006666"/>
      </patternFill>
    </fill>
    <fill>
      <patternFill patternType="solid">
        <fgColor theme="6"/>
        <bgColor rgb="FFA6A6A6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9" tint="0.79989013336588644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A6A6A6"/>
      </patternFill>
    </fill>
    <fill>
      <patternFill patternType="solid">
        <fgColor theme="9" tint="-0.249977111117893"/>
        <bgColor rgb="FFC0C0C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CE4B4"/>
        <bgColor rgb="FFFDEADA"/>
      </patternFill>
    </fill>
    <fill>
      <patternFill patternType="solid">
        <fgColor rgb="FF2E86AB"/>
        <bgColor rgb="FF4F81BD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A6A6A6"/>
      </patternFill>
    </fill>
    <fill>
      <patternFill patternType="solid">
        <fgColor rgb="FFFF0000"/>
        <bgColor rgb="FFC0C0C0"/>
      </patternFill>
    </fill>
    <fill>
      <patternFill patternType="solid">
        <fgColor rgb="FF00778A"/>
      </patternFill>
    </fill>
    <fill>
      <patternFill patternType="solid">
        <fgColor rgb="FF4FA3B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/>
      <diagonal/>
    </border>
    <border>
      <left/>
      <right/>
      <top style="thin">
        <color rgb="FFFFFF00"/>
      </top>
      <bottom/>
      <diagonal/>
    </border>
    <border>
      <left style="medium">
        <color indexed="64"/>
      </left>
      <right/>
      <top style="thin">
        <color rgb="FFFFFF00"/>
      </top>
      <bottom/>
      <diagonal/>
    </border>
    <border>
      <left/>
      <right style="medium">
        <color indexed="64"/>
      </right>
      <top style="thin">
        <color rgb="FFFFFF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8D8DA"/>
      </left>
      <right/>
      <top/>
      <bottom/>
      <diagonal/>
    </border>
    <border>
      <left/>
      <right style="thin">
        <color rgb="FFC8D8DA"/>
      </right>
      <top/>
      <bottom/>
      <diagonal/>
    </border>
    <border>
      <left style="thin">
        <color rgb="FFC8D8DA"/>
      </left>
      <right/>
      <top/>
      <bottom style="thin">
        <color rgb="FFC8D8DA"/>
      </bottom>
      <diagonal/>
    </border>
    <border>
      <left/>
      <right/>
      <top/>
      <bottom style="thin">
        <color rgb="FFC8D8DA"/>
      </bottom>
      <diagonal/>
    </border>
    <border>
      <left/>
      <right style="thin">
        <color rgb="FFC8D8DA"/>
      </right>
      <top/>
      <bottom style="thin">
        <color rgb="FFC8D8DA"/>
      </bottom>
      <diagonal/>
    </border>
    <border>
      <left style="medium">
        <color rgb="FFE87722"/>
      </left>
      <right/>
      <top style="thin">
        <color rgb="FFE87722"/>
      </top>
      <bottom/>
      <diagonal/>
    </border>
    <border>
      <left/>
      <right/>
      <top style="thin">
        <color rgb="FFE87722"/>
      </top>
      <bottom/>
      <diagonal/>
    </border>
    <border>
      <left/>
      <right style="thin">
        <color rgb="FFE87722"/>
      </right>
      <top style="thin">
        <color rgb="FFE87722"/>
      </top>
      <bottom/>
      <diagonal/>
    </border>
    <border>
      <left style="medium">
        <color rgb="FFE87722"/>
      </left>
      <right/>
      <top/>
      <bottom/>
      <diagonal/>
    </border>
    <border>
      <left/>
      <right style="thin">
        <color rgb="FFE87722"/>
      </right>
      <top/>
      <bottom/>
      <diagonal/>
    </border>
    <border>
      <left style="medium">
        <color rgb="FFE87722"/>
      </left>
      <right/>
      <top/>
      <bottom style="thin">
        <color rgb="FFE87722"/>
      </bottom>
      <diagonal/>
    </border>
    <border>
      <left/>
      <right/>
      <top/>
      <bottom style="thin">
        <color rgb="FFE87722"/>
      </bottom>
      <diagonal/>
    </border>
    <border>
      <left/>
      <right style="thin">
        <color rgb="FFE87722"/>
      </right>
      <top/>
      <bottom style="thin">
        <color rgb="FFE87722"/>
      </bottom>
      <diagonal/>
    </border>
    <border>
      <left style="thin">
        <color rgb="FFC8D8DA"/>
      </left>
      <right/>
      <top style="thin">
        <color rgb="FFC8D8DA"/>
      </top>
      <bottom/>
      <diagonal/>
    </border>
    <border>
      <left/>
      <right/>
      <top style="thin">
        <color rgb="FFC8D8DA"/>
      </top>
      <bottom/>
      <diagonal/>
    </border>
    <border>
      <left/>
      <right style="thin">
        <color rgb="FFC8D8DA"/>
      </right>
      <top style="thin">
        <color rgb="FFC8D8DA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FFFF00"/>
      </top>
      <bottom style="thin">
        <color rgb="FFFFFF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4">
    <xf numFmtId="0" fontId="0" fillId="0" borderId="0"/>
    <xf numFmtId="0" fontId="13" fillId="0" borderId="0"/>
    <xf numFmtId="0" fontId="1" fillId="0" borderId="0"/>
    <xf numFmtId="9" fontId="46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7" fillId="0" borderId="5" xfId="0" applyFont="1" applyBorder="1" applyAlignment="1">
      <alignment horizontal="center" vertical="center"/>
    </xf>
    <xf numFmtId="0" fontId="7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2" fontId="7" fillId="5" borderId="7" xfId="0" applyNumberFormat="1" applyFont="1" applyFill="1" applyBorder="1" applyAlignment="1">
      <alignment horizontal="center" vertical="center" wrapText="1"/>
    </xf>
    <xf numFmtId="9" fontId="8" fillId="0" borderId="6" xfId="0" applyNumberFormat="1" applyFont="1" applyBorder="1" applyAlignment="1">
      <alignment horizontal="center" vertical="center" wrapText="1"/>
    </xf>
    <xf numFmtId="0" fontId="7" fillId="6" borderId="2" xfId="0" applyFont="1" applyFill="1" applyBorder="1" applyAlignment="1">
      <alignment vertical="center" wrapText="1"/>
    </xf>
    <xf numFmtId="166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7" borderId="2" xfId="0" applyFont="1" applyFill="1" applyBorder="1" applyAlignment="1">
      <alignment vertical="center" wrapText="1"/>
    </xf>
    <xf numFmtId="2" fontId="7" fillId="9" borderId="7" xfId="0" applyNumberFormat="1" applyFont="1" applyFill="1" applyBorder="1" applyAlignment="1">
      <alignment horizontal="center" vertical="center" wrapText="1"/>
    </xf>
    <xf numFmtId="9" fontId="8" fillId="10" borderId="6" xfId="0" applyNumberFormat="1" applyFont="1" applyFill="1" applyBorder="1" applyAlignment="1">
      <alignment horizontal="center" vertical="center" wrapText="1"/>
    </xf>
    <xf numFmtId="166" fontId="9" fillId="10" borderId="2" xfId="0" applyNumberFormat="1" applyFont="1" applyFill="1" applyBorder="1" applyAlignment="1">
      <alignment horizontal="center" vertical="center"/>
    </xf>
    <xf numFmtId="167" fontId="9" fillId="10" borderId="2" xfId="0" applyNumberFormat="1" applyFont="1" applyFill="1" applyBorder="1" applyAlignment="1">
      <alignment horizontal="center" vertical="center"/>
    </xf>
    <xf numFmtId="168" fontId="9" fillId="10" borderId="2" xfId="0" applyNumberFormat="1" applyFont="1" applyFill="1" applyBorder="1" applyAlignment="1">
      <alignment horizontal="center" vertical="center"/>
    </xf>
    <xf numFmtId="170" fontId="11" fillId="10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5" fillId="11" borderId="3" xfId="1" applyFont="1" applyFill="1" applyBorder="1" applyAlignment="1">
      <alignment horizontal="center" vertical="center" wrapText="1"/>
    </xf>
    <xf numFmtId="0" fontId="5" fillId="11" borderId="12" xfId="1" applyFont="1" applyFill="1" applyBorder="1" applyAlignment="1">
      <alignment horizontal="center" vertical="center" wrapText="1"/>
    </xf>
    <xf numFmtId="164" fontId="16" fillId="2" borderId="0" xfId="0" applyNumberFormat="1" applyFont="1" applyFill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10" fillId="0" borderId="17" xfId="0" applyFont="1" applyBorder="1" applyAlignment="1">
      <alignment horizontal="left" vertical="center" wrapText="1"/>
    </xf>
    <xf numFmtId="0" fontId="10" fillId="10" borderId="17" xfId="0" applyFont="1" applyFill="1" applyBorder="1" applyAlignment="1">
      <alignment horizontal="left" vertical="center" wrapText="1"/>
    </xf>
    <xf numFmtId="22" fontId="0" fillId="0" borderId="0" xfId="0" applyNumberFormat="1"/>
    <xf numFmtId="171" fontId="0" fillId="0" borderId="0" xfId="0" applyNumberFormat="1"/>
    <xf numFmtId="172" fontId="25" fillId="0" borderId="15" xfId="0" applyNumberFormat="1" applyFont="1" applyBorder="1" applyAlignment="1">
      <alignment vertical="center"/>
    </xf>
    <xf numFmtId="0" fontId="4" fillId="12" borderId="22" xfId="0" applyFont="1" applyFill="1" applyBorder="1"/>
    <xf numFmtId="0" fontId="4" fillId="12" borderId="24" xfId="0" applyFont="1" applyFill="1" applyBorder="1"/>
    <xf numFmtId="0" fontId="27" fillId="0" borderId="0" xfId="0" applyFont="1"/>
    <xf numFmtId="165" fontId="28" fillId="13" borderId="25" xfId="0" applyNumberFormat="1" applyFont="1" applyFill="1" applyBorder="1" applyAlignment="1">
      <alignment horizontal="center"/>
    </xf>
    <xf numFmtId="1" fontId="28" fillId="13" borderId="25" xfId="0" applyNumberFormat="1" applyFont="1" applyFill="1" applyBorder="1" applyAlignment="1">
      <alignment horizontal="center"/>
    </xf>
    <xf numFmtId="0" fontId="28" fillId="13" borderId="25" xfId="0" applyFont="1" applyFill="1" applyBorder="1"/>
    <xf numFmtId="165" fontId="29" fillId="0" borderId="25" xfId="0" applyNumberFormat="1" applyFont="1" applyBorder="1" applyAlignment="1">
      <alignment horizontal="center"/>
    </xf>
    <xf numFmtId="1" fontId="29" fillId="0" borderId="25" xfId="0" applyNumberFormat="1" applyFont="1" applyBorder="1" applyAlignment="1">
      <alignment horizontal="center"/>
    </xf>
    <xf numFmtId="0" fontId="29" fillId="0" borderId="25" xfId="0" applyFont="1" applyBorder="1"/>
    <xf numFmtId="0" fontId="30" fillId="14" borderId="25" xfId="0" applyFont="1" applyFill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horizontal="center" vertical="center"/>
    </xf>
    <xf numFmtId="168" fontId="9" fillId="0" borderId="6" xfId="0" applyNumberFormat="1" applyFont="1" applyBorder="1" applyAlignment="1">
      <alignment horizontal="center" vertical="center"/>
    </xf>
    <xf numFmtId="169" fontId="9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166" fontId="7" fillId="10" borderId="6" xfId="0" applyNumberFormat="1" applyFont="1" applyFill="1" applyBorder="1" applyAlignment="1">
      <alignment horizontal="center" vertical="center" wrapText="1"/>
    </xf>
    <xf numFmtId="166" fontId="9" fillId="10" borderId="6" xfId="0" applyNumberFormat="1" applyFont="1" applyFill="1" applyBorder="1" applyAlignment="1">
      <alignment horizontal="center" vertical="center"/>
    </xf>
    <xf numFmtId="167" fontId="9" fillId="10" borderId="6" xfId="0" applyNumberFormat="1" applyFont="1" applyFill="1" applyBorder="1" applyAlignment="1">
      <alignment horizontal="center" vertical="center"/>
    </xf>
    <xf numFmtId="168" fontId="9" fillId="10" borderId="6" xfId="0" applyNumberFormat="1" applyFont="1" applyFill="1" applyBorder="1" applyAlignment="1">
      <alignment horizontal="center" vertical="center"/>
    </xf>
    <xf numFmtId="169" fontId="9" fillId="10" borderId="6" xfId="0" applyNumberFormat="1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173" fontId="3" fillId="4" borderId="9" xfId="0" applyNumberFormat="1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vertical="center" wrapText="1"/>
    </xf>
    <xf numFmtId="173" fontId="3" fillId="17" borderId="9" xfId="0" applyNumberFormat="1" applyFont="1" applyFill="1" applyBorder="1" applyAlignment="1">
      <alignment horizontal="center" vertical="center" wrapText="1"/>
    </xf>
    <xf numFmtId="2" fontId="7" fillId="18" borderId="7" xfId="0" applyNumberFormat="1" applyFont="1" applyFill="1" applyBorder="1" applyAlignment="1">
      <alignment horizontal="center" vertical="center" wrapText="1"/>
    </xf>
    <xf numFmtId="9" fontId="8" fillId="15" borderId="6" xfId="0" applyNumberFormat="1" applyFont="1" applyFill="1" applyBorder="1" applyAlignment="1">
      <alignment horizontal="center" vertical="center" wrapText="1"/>
    </xf>
    <xf numFmtId="166" fontId="9" fillId="15" borderId="2" xfId="0" applyNumberFormat="1" applyFont="1" applyFill="1" applyBorder="1" applyAlignment="1">
      <alignment horizontal="center" vertical="center"/>
    </xf>
    <xf numFmtId="167" fontId="9" fillId="15" borderId="2" xfId="0" applyNumberFormat="1" applyFont="1" applyFill="1" applyBorder="1" applyAlignment="1">
      <alignment horizontal="center" vertical="center"/>
    </xf>
    <xf numFmtId="168" fontId="9" fillId="15" borderId="2" xfId="0" applyNumberFormat="1" applyFont="1" applyFill="1" applyBorder="1" applyAlignment="1">
      <alignment horizontal="center" vertical="center"/>
    </xf>
    <xf numFmtId="170" fontId="11" fillId="15" borderId="2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left" vertical="center" wrapText="1"/>
    </xf>
    <xf numFmtId="173" fontId="3" fillId="8" borderId="9" xfId="0" applyNumberFormat="1" applyFont="1" applyFill="1" applyBorder="1" applyAlignment="1">
      <alignment horizontal="center" vertical="center" wrapText="1"/>
    </xf>
    <xf numFmtId="173" fontId="9" fillId="0" borderId="6" xfId="0" applyNumberFormat="1" applyFont="1" applyBorder="1" applyAlignment="1">
      <alignment horizontal="center" vertical="center"/>
    </xf>
    <xf numFmtId="173" fontId="10" fillId="10" borderId="2" xfId="0" applyNumberFormat="1" applyFont="1" applyFill="1" applyBorder="1" applyAlignment="1">
      <alignment horizontal="center" vertical="center"/>
    </xf>
    <xf numFmtId="173" fontId="10" fillId="0" borderId="2" xfId="0" applyNumberFormat="1" applyFont="1" applyBorder="1" applyAlignment="1">
      <alignment horizontal="center" vertical="center"/>
    </xf>
    <xf numFmtId="173" fontId="10" fillId="15" borderId="2" xfId="0" applyNumberFormat="1" applyFont="1" applyFill="1" applyBorder="1" applyAlignment="1">
      <alignment horizontal="center" vertical="center"/>
    </xf>
    <xf numFmtId="0" fontId="0" fillId="19" borderId="0" xfId="0" applyFill="1"/>
    <xf numFmtId="0" fontId="44" fillId="0" borderId="0" xfId="0" applyFont="1"/>
    <xf numFmtId="0" fontId="1" fillId="0" borderId="0" xfId="2"/>
    <xf numFmtId="0" fontId="1" fillId="19" borderId="0" xfId="2" applyFill="1"/>
    <xf numFmtId="0" fontId="1" fillId="20" borderId="0" xfId="2" applyFill="1"/>
    <xf numFmtId="0" fontId="2" fillId="0" borderId="0" xfId="0" applyFont="1" applyAlignment="1">
      <alignment horizontal="center" vertical="center"/>
    </xf>
    <xf numFmtId="0" fontId="5" fillId="11" borderId="45" xfId="1" applyFont="1" applyFill="1" applyBorder="1" applyAlignment="1">
      <alignment horizontal="center" vertical="center" wrapText="1"/>
    </xf>
    <xf numFmtId="0" fontId="4" fillId="12" borderId="23" xfId="0" applyFont="1" applyFill="1" applyBorder="1"/>
    <xf numFmtId="172" fontId="25" fillId="0" borderId="0" xfId="0" applyNumberFormat="1" applyFont="1" applyAlignment="1">
      <alignment vertical="center"/>
    </xf>
    <xf numFmtId="172" fontId="25" fillId="0" borderId="49" xfId="0" applyNumberFormat="1" applyFont="1" applyBorder="1" applyAlignment="1">
      <alignment vertical="center"/>
    </xf>
    <xf numFmtId="172" fontId="25" fillId="0" borderId="50" xfId="0" applyNumberFormat="1" applyFont="1" applyBorder="1" applyAlignment="1">
      <alignment vertical="center"/>
    </xf>
    <xf numFmtId="0" fontId="0" fillId="0" borderId="50" xfId="0" applyBorder="1"/>
    <xf numFmtId="0" fontId="0" fillId="0" borderId="51" xfId="0" applyBorder="1"/>
    <xf numFmtId="173" fontId="3" fillId="4" borderId="6" xfId="0" applyNumberFormat="1" applyFont="1" applyFill="1" applyBorder="1" applyAlignment="1">
      <alignment horizontal="center" vertical="center" wrapText="1"/>
    </xf>
    <xf numFmtId="2" fontId="45" fillId="22" borderId="0" xfId="0" applyNumberFormat="1" applyFont="1" applyFill="1"/>
    <xf numFmtId="0" fontId="11" fillId="0" borderId="8" xfId="0" applyFont="1" applyBorder="1" applyAlignment="1">
      <alignment vertical="center"/>
    </xf>
    <xf numFmtId="0" fontId="11" fillId="10" borderId="17" xfId="0" applyFont="1" applyFill="1" applyBorder="1" applyAlignment="1">
      <alignment horizontal="left" vertical="center" wrapText="1"/>
    </xf>
    <xf numFmtId="173" fontId="3" fillId="4" borderId="2" xfId="0" applyNumberFormat="1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173" fontId="3" fillId="8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11" borderId="11" xfId="1" applyFont="1" applyFill="1" applyBorder="1" applyAlignment="1">
      <alignment horizontal="center" vertical="center" wrapText="1"/>
    </xf>
    <xf numFmtId="0" fontId="5" fillId="11" borderId="46" xfId="1" applyFont="1" applyFill="1" applyBorder="1" applyAlignment="1">
      <alignment horizontal="center" vertical="center" wrapText="1"/>
    </xf>
    <xf numFmtId="9" fontId="12" fillId="0" borderId="0" xfId="3" applyFont="1" applyAlignment="1">
      <alignment horizontal="center" vertical="center"/>
    </xf>
    <xf numFmtId="0" fontId="21" fillId="12" borderId="22" xfId="0" applyFont="1" applyFill="1" applyBorder="1" applyAlignment="1">
      <alignment horizontal="center" vertical="center"/>
    </xf>
    <xf numFmtId="173" fontId="3" fillId="8" borderId="26" xfId="0" applyNumberFormat="1" applyFont="1" applyFill="1" applyBorder="1" applyAlignment="1">
      <alignment horizontal="center" vertical="center" wrapText="1"/>
    </xf>
    <xf numFmtId="0" fontId="5" fillId="11" borderId="11" xfId="1" applyFont="1" applyFill="1" applyBorder="1" applyAlignment="1">
      <alignment vertical="center" wrapText="1"/>
    </xf>
    <xf numFmtId="0" fontId="5" fillId="11" borderId="47" xfId="1" applyFont="1" applyFill="1" applyBorder="1" applyAlignment="1">
      <alignment horizontal="center" vertical="center" wrapText="1"/>
    </xf>
    <xf numFmtId="0" fontId="5" fillId="11" borderId="13" xfId="1" applyFont="1" applyFill="1" applyBorder="1" applyAlignment="1">
      <alignment horizontal="center" vertical="center" wrapText="1"/>
    </xf>
    <xf numFmtId="0" fontId="5" fillId="11" borderId="27" xfId="1" applyFont="1" applyFill="1" applyBorder="1" applyAlignment="1">
      <alignment horizontal="center" vertical="center" wrapText="1"/>
    </xf>
    <xf numFmtId="0" fontId="5" fillId="11" borderId="11" xfId="1" applyFont="1" applyFill="1" applyBorder="1" applyAlignment="1">
      <alignment horizontal="center" vertical="center" wrapText="1"/>
    </xf>
    <xf numFmtId="0" fontId="14" fillId="11" borderId="27" xfId="1" applyFont="1" applyFill="1" applyBorder="1" applyAlignment="1">
      <alignment horizontal="center" vertical="center" wrapText="1"/>
    </xf>
    <xf numFmtId="0" fontId="14" fillId="11" borderId="11" xfId="1" applyFont="1" applyFill="1" applyBorder="1" applyAlignment="1">
      <alignment horizontal="center" vertical="center" wrapText="1"/>
    </xf>
    <xf numFmtId="0" fontId="5" fillId="11" borderId="44" xfId="1" applyFont="1" applyFill="1" applyBorder="1" applyAlignment="1">
      <alignment horizontal="center" vertical="center"/>
    </xf>
    <xf numFmtId="0" fontId="5" fillId="11" borderId="10" xfId="1" applyFont="1" applyFill="1" applyBorder="1" applyAlignment="1">
      <alignment horizontal="center" vertical="center"/>
    </xf>
    <xf numFmtId="0" fontId="5" fillId="11" borderId="27" xfId="1" applyFont="1" applyFill="1" applyBorder="1" applyAlignment="1">
      <alignment horizontal="center" vertical="center" textRotation="90" wrapText="1"/>
    </xf>
    <xf numFmtId="0" fontId="5" fillId="11" borderId="11" xfId="1" applyFont="1" applyFill="1" applyBorder="1" applyAlignment="1">
      <alignment horizontal="center" vertical="center" textRotation="90" wrapText="1"/>
    </xf>
    <xf numFmtId="0" fontId="5" fillId="11" borderId="45" xfId="1" applyFont="1" applyFill="1" applyBorder="1" applyAlignment="1">
      <alignment horizontal="center" vertical="center" wrapText="1"/>
    </xf>
    <xf numFmtId="0" fontId="5" fillId="11" borderId="46" xfId="1" applyFont="1" applyFill="1" applyBorder="1" applyAlignment="1">
      <alignment horizontal="center" vertical="center" wrapText="1"/>
    </xf>
    <xf numFmtId="0" fontId="5" fillId="11" borderId="52" xfId="1" applyFont="1" applyFill="1" applyBorder="1" applyAlignment="1">
      <alignment horizontal="center" vertical="center" wrapText="1"/>
    </xf>
    <xf numFmtId="0" fontId="5" fillId="11" borderId="53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12" borderId="21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/>
    </xf>
    <xf numFmtId="172" fontId="26" fillId="12" borderId="23" xfId="0" applyNumberFormat="1" applyFont="1" applyFill="1" applyBorder="1" applyAlignment="1">
      <alignment horizontal="right" vertical="center"/>
    </xf>
    <xf numFmtId="172" fontId="26" fillId="12" borderId="22" xfId="0" applyNumberFormat="1" applyFont="1" applyFill="1" applyBorder="1" applyAlignment="1">
      <alignment horizontal="right" vertical="center"/>
    </xf>
    <xf numFmtId="0" fontId="21" fillId="12" borderId="19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4" fillId="12" borderId="19" xfId="0" applyFont="1" applyFill="1" applyBorder="1" applyAlignment="1">
      <alignment horizontal="center" vertical="center"/>
    </xf>
    <xf numFmtId="0" fontId="24" fillId="12" borderId="48" xfId="0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0" fontId="19" fillId="12" borderId="1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31" fillId="0" borderId="0" xfId="2" applyFont="1" applyAlignment="1">
      <alignment horizontal="left" vertical="center" indent="1"/>
    </xf>
    <xf numFmtId="0" fontId="1" fillId="0" borderId="0" xfId="2"/>
    <xf numFmtId="0" fontId="32" fillId="0" borderId="0" xfId="2" applyFont="1" applyAlignment="1">
      <alignment horizontal="left" vertical="center" indent="1"/>
    </xf>
    <xf numFmtId="0" fontId="35" fillId="21" borderId="41" xfId="2" applyFont="1" applyFill="1" applyBorder="1" applyAlignment="1">
      <alignment horizontal="left" vertical="center" indent="1"/>
    </xf>
    <xf numFmtId="0" fontId="1" fillId="21" borderId="42" xfId="2" applyFill="1" applyBorder="1"/>
    <xf numFmtId="0" fontId="1" fillId="21" borderId="43" xfId="2" applyFill="1" applyBorder="1"/>
    <xf numFmtId="0" fontId="33" fillId="0" borderId="0" xfId="2" applyFont="1" applyAlignment="1">
      <alignment horizontal="left" vertical="center" indent="1"/>
    </xf>
    <xf numFmtId="0" fontId="32" fillId="0" borderId="0" xfId="2" applyFont="1" applyAlignment="1">
      <alignment horizontal="right" vertical="center"/>
    </xf>
    <xf numFmtId="0" fontId="35" fillId="21" borderId="28" xfId="2" applyFont="1" applyFill="1" applyBorder="1" applyAlignment="1">
      <alignment horizontal="left" vertical="center" indent="1"/>
    </xf>
    <xf numFmtId="0" fontId="1" fillId="21" borderId="0" xfId="2" applyFill="1"/>
    <xf numFmtId="0" fontId="1" fillId="21" borderId="29" xfId="2" applyFill="1" applyBorder="1"/>
    <xf numFmtId="0" fontId="37" fillId="21" borderId="30" xfId="2" applyFont="1" applyFill="1" applyBorder="1" applyAlignment="1">
      <alignment horizontal="left" vertical="center" indent="1"/>
    </xf>
    <xf numFmtId="0" fontId="1" fillId="21" borderId="31" xfId="2" applyFill="1" applyBorder="1"/>
    <xf numFmtId="0" fontId="1" fillId="21" borderId="32" xfId="2" applyFill="1" applyBorder="1"/>
    <xf numFmtId="0" fontId="40" fillId="19" borderId="0" xfId="2" applyFont="1" applyFill="1" applyAlignment="1">
      <alignment horizontal="left" vertical="center" indent="1"/>
    </xf>
    <xf numFmtId="0" fontId="1" fillId="19" borderId="0" xfId="2" applyFill="1"/>
    <xf numFmtId="0" fontId="35" fillId="21" borderId="0" xfId="2" applyFont="1" applyFill="1" applyAlignment="1">
      <alignment horizontal="left" vertical="center" indent="1"/>
    </xf>
    <xf numFmtId="0" fontId="36" fillId="21" borderId="28" xfId="2" applyFont="1" applyFill="1" applyBorder="1" applyAlignment="1">
      <alignment horizontal="left" vertical="center" indent="1"/>
    </xf>
    <xf numFmtId="0" fontId="34" fillId="0" borderId="0" xfId="2" applyFont="1" applyAlignment="1">
      <alignment horizontal="left" vertical="center" indent="1"/>
    </xf>
    <xf numFmtId="0" fontId="41" fillId="21" borderId="31" xfId="2" applyFont="1" applyFill="1" applyBorder="1" applyAlignment="1">
      <alignment horizontal="left" vertical="center" indent="1"/>
    </xf>
    <xf numFmtId="0" fontId="42" fillId="21" borderId="28" xfId="2" applyFont="1" applyFill="1" applyBorder="1" applyAlignment="1">
      <alignment horizontal="left" vertical="center" indent="1"/>
    </xf>
    <xf numFmtId="0" fontId="38" fillId="21" borderId="33" xfId="2" applyFont="1" applyFill="1" applyBorder="1" applyAlignment="1">
      <alignment horizontal="left" vertical="center" indent="1"/>
    </xf>
    <xf numFmtId="0" fontId="1" fillId="21" borderId="34" xfId="2" applyFill="1" applyBorder="1"/>
    <xf numFmtId="0" fontId="1" fillId="21" borderId="35" xfId="2" applyFill="1" applyBorder="1"/>
    <xf numFmtId="0" fontId="43" fillId="19" borderId="0" xfId="2" applyFont="1" applyFill="1" applyAlignment="1">
      <alignment horizontal="center" vertical="center"/>
    </xf>
    <xf numFmtId="0" fontId="37" fillId="0" borderId="0" xfId="2" applyFont="1" applyAlignment="1">
      <alignment horizontal="right" vertical="center"/>
    </xf>
    <xf numFmtId="0" fontId="37" fillId="0" borderId="0" xfId="2" applyFont="1" applyAlignment="1">
      <alignment horizontal="left" vertical="center" indent="1"/>
    </xf>
    <xf numFmtId="0" fontId="39" fillId="21" borderId="36" xfId="2" applyFont="1" applyFill="1" applyBorder="1" applyAlignment="1">
      <alignment horizontal="left" vertical="center" indent="1"/>
    </xf>
    <xf numFmtId="0" fontId="1" fillId="21" borderId="37" xfId="2" applyFill="1" applyBorder="1"/>
    <xf numFmtId="0" fontId="39" fillId="21" borderId="38" xfId="2" applyFont="1" applyFill="1" applyBorder="1" applyAlignment="1">
      <alignment horizontal="left" vertical="center" indent="1"/>
    </xf>
    <xf numFmtId="0" fontId="1" fillId="21" borderId="39" xfId="2" applyFill="1" applyBorder="1"/>
    <xf numFmtId="0" fontId="1" fillId="21" borderId="40" xfId="2" applyFill="1" applyBorder="1"/>
  </cellXfs>
  <cellStyles count="4">
    <cellStyle name="Normal" xfId="0" builtinId="0"/>
    <cellStyle name="Normal 2" xfId="1" xr:uid="{2BEB0D22-D25E-47CF-AC7F-1D65E3D3226A}"/>
    <cellStyle name="Normal 3" xfId="2" xr:uid="{FCE7B6E0-4802-4545-BDF4-E424326411E7}"/>
    <cellStyle name="Percent" xfId="3" builtinId="5"/>
  </cellStyles>
  <dxfs count="8"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theme="9" tint="-0.24994659260841701"/>
      </font>
    </dxf>
  </dxfs>
  <tableStyles count="1" defaultTableStyle="TableStyleMedium2" defaultPivotStyle="PivotStyleLight16">
    <tableStyle name="Invisible" pivot="0" table="0" count="0" xr9:uid="{CB542721-422A-4F10-8B34-9D1683D1DCC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C265 ,TK 210+525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791491516488397"/>
          <c:y val="0.23712025627006492"/>
          <c:w val="0.50890283153674343"/>
          <c:h val="0.51425362044552858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C5C-4F7C-82C1-4DE01EB9EBAE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C5C-4F7C-82C1-4DE01EB9EB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5C-4F7C-82C1-4DE01EB9EB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5C-4F7C-82C1-4DE01EB9E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Charts!$C$5:$D$5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C-4F7C-82C1-4DE01EB9E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9235131310608888"/>
          <c:y val="0.80990452958741643"/>
          <c:w val="0.28122008573687934"/>
          <c:h val="0.160976994574588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C289 , TK 338+491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351014830537867"/>
          <c:y val="0.20803156228356584"/>
          <c:w val="0.50890283153674343"/>
          <c:h val="0.51848400684108609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542-4627-BCD9-E5D4FC26622E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542-4627-BCD9-E5D4FC2662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42-4627-BCD9-E5D4FC2662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42-4627-BCD9-E5D4FC2662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Charts!$C$8:$D$8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2-4627-BCD9-E5D4FC26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8794654624658369"/>
          <c:y val="0.82142927815234135"/>
          <c:w val="0.28122008573687934"/>
          <c:h val="0.1623012339397023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C267 , TK</a:t>
            </a:r>
            <a:r>
              <a:rPr lang="en-US" sz="2000" b="1" strike="noStrike" spc="-1" baseline="0">
                <a:solidFill>
                  <a:srgbClr val="000000"/>
                </a:solidFill>
                <a:latin typeface="Calibri"/>
              </a:rPr>
              <a:t> 212+400</a:t>
            </a:r>
            <a:endParaRPr lang="en-US" sz="20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553398260290502"/>
          <c:y val="0.22149465010106145"/>
          <c:w val="0.50890283153674343"/>
          <c:h val="0.51848400684108609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BC2-460B-8C7E-36262D3FFE96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BC2-460B-8C7E-36262D3FFE9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C2-460B-8C7E-36262D3FFE9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C2-460B-8C7E-36262D3FF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Charts!$C$6:$D$6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C2-460B-8C7E-36262D3F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9235131310608888"/>
          <c:y val="0.81245388627401094"/>
          <c:w val="0.28122008573687934"/>
          <c:h val="0.1623012339397023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C288 , TK 337+391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351014830537867"/>
          <c:y val="0.21251925822273107"/>
          <c:w val="0.50890283153674343"/>
          <c:h val="0.51848400684108609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FEA-4657-82BB-78244FEEE715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FEA-4657-82BB-78244FEEE71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EA-4657-82BB-78244FEEE71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EA-4657-82BB-78244FEEE7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Charts!$C$7:$D$7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EA-4657-82BB-78244FEE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9235131310608888"/>
          <c:y val="0.81245388627401094"/>
          <c:w val="0.28122008573687934"/>
          <c:h val="0.1623012339397023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OVERALL SHUTDOWN — DURATION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33556735837458"/>
          <c:y val="0.22438540305255397"/>
          <c:w val="0.41541710911967811"/>
          <c:h val="0.61679323008968434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D4A01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42F-4CB0-B9DF-2EB88B955E42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42F-4CB0-B9DF-2EB88B955E4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2F-4CB0-B9DF-2EB88B955E4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2F-4CB0-B9DF-2EB88B955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Charts!$C$9:$D$9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2F-4CB0-B9DF-2EB88B955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682473729972791"/>
          <c:y val="0.81748476324664865"/>
          <c:w val="0.18572146487297209"/>
          <c:h val="0.156204056355157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C263 , TK 209+025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428069070256748"/>
          <c:y val="0.24277221716285244"/>
          <c:w val="0.51788686072983281"/>
          <c:h val="0.53865491454044112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30E-4445-8180-F3C7E46965B5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30E-4445-8180-F3C7E46965B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0E-4445-8180-F3C7E46965B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0E-4445-8180-F3C7E4696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Charts!$C$4:$D$4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0E-4445-8180-F3C7E4696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9617997746385829"/>
          <c:y val="0.82902669142082586"/>
          <c:w val="0.2699891714638103"/>
          <c:h val="0.16162434390452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300" b="1" strike="noStrike" spc="-1">
                <a:solidFill>
                  <a:srgbClr val="000000"/>
                </a:solidFill>
                <a:latin typeface="Calibri"/>
              </a:rPr>
              <a:t>C028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A49-42B9-8BA6-51206A60B7EB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A49-42B9-8BA6-51206A60B7E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49-42B9-8BA6-51206A60B7E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49-42B9-8BA6-51206A60B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Charts!$C$4:$D$4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9-42B9-8BA6-51206A60B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300" b="1" strike="noStrike" spc="-1">
                <a:solidFill>
                  <a:srgbClr val="000000"/>
                </a:solidFill>
                <a:latin typeface="Calibri"/>
              </a:rPr>
              <a:t>C052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7D7-4699-9B6A-3EE11235A8A0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7D7-4699-9B6A-3EE11235A8A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D7-4699-9B6A-3EE11235A8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D7-4699-9B6A-3EE11235A8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Charts!$C$5:$D$5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D7-4699-9B6A-3EE11235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300" b="1" strike="noStrike" spc="-1">
                <a:solidFill>
                  <a:srgbClr val="000000"/>
                </a:solidFill>
                <a:latin typeface="Calibri"/>
              </a:rPr>
              <a:t>C053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A8A-43EE-A0AF-B2AA94B49F90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A8A-43EE-A0AF-B2AA94B49F9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8A-43EE-A0AF-B2AA94B49F9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8A-43EE-A0AF-B2AA94B49F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Charts!$C$6:$D$6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A-43EE-A0AF-B2AA94B4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300" b="1" strike="noStrike" spc="-1">
                <a:solidFill>
                  <a:srgbClr val="000000"/>
                </a:solidFill>
                <a:latin typeface="Calibri"/>
              </a:rPr>
              <a:t>C067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7F0-4524-9C64-9ACC91010EF7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7F0-4524-9C64-9ACC91010EF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F0-4524-9C64-9ACC91010EF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F0-4524-9C64-9ACC91010E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Charts!$C$7:$D$7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0-4524-9C64-9ACC9101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300" b="1" strike="noStrike" spc="-1">
                <a:solidFill>
                  <a:srgbClr val="000000"/>
                </a:solidFill>
                <a:latin typeface="Calibri"/>
              </a:rPr>
              <a:t>C070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25E-4CCC-9A25-5DC7C7260FDD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25E-4CCC-9A25-5DC7C7260F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5E-4CCC-9A25-5DC7C7260F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5E-4CCC-9A25-5DC7C7260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Charts!$C$8:$D$8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5E-4CCC-9A25-5DC7C7260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OVERALL SHUTDOWN — DURATION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D4A01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01E-4A73-A64D-2B77B9F17DC2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01E-4A73-A64D-2B77B9F17DC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1E-4A73-A64D-2B77B9F17DC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1E-4A73-A64D-2B77B9F17D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Charts!$C$3:$D$3</c:f>
              <c:strCache>
                <c:ptCount val="2"/>
                <c:pt idx="0">
                  <c:v> Completed</c:v>
                </c:pt>
                <c:pt idx="1">
                  <c:v> Remaining</c:v>
                </c:pt>
              </c:strCache>
            </c:strRef>
          </c:cat>
          <c:val>
            <c:numRef>
              <c:f>Charts!$C$9:$D$9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1E-4A73-A64D-2B77B9F17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g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858000" cy="485102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64C0922-5AD2-496E-BFD5-3AC7FB35410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926080"/>
          <a:ext cx="6858000" cy="485102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288637</xdr:colOff>
      <xdr:row>2</xdr:row>
      <xdr:rowOff>417260</xdr:rowOff>
    </xdr:from>
    <xdr:ext cx="3276266" cy="4575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E355C3-7F90-4A06-8670-6D20D24C8DDF}"/>
            </a:ext>
          </a:extLst>
        </xdr:cNvPr>
        <xdr:cNvSpPr txBox="1"/>
      </xdr:nvSpPr>
      <xdr:spPr>
        <a:xfrm>
          <a:off x="288637" y="1413055"/>
          <a:ext cx="3276266" cy="45753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800" b="1">
              <a:solidFill>
                <a:schemeClr val="bg1"/>
              </a:solidFill>
              <a:latin typeface="Tenorite" panose="00000500000000000000" pitchFamily="2" charset="0"/>
            </a:rPr>
            <a:t>          This</a:t>
          </a:r>
          <a:r>
            <a:rPr lang="en-US" sz="1800" b="1" baseline="0">
              <a:solidFill>
                <a:schemeClr val="bg1"/>
              </a:solidFill>
              <a:latin typeface="Tenorite" panose="00000500000000000000" pitchFamily="2" charset="0"/>
            </a:rPr>
            <a:t> Date </a:t>
          </a:r>
          <a:r>
            <a:rPr lang="en-US" sz="1800" b="1">
              <a:solidFill>
                <a:schemeClr val="bg1"/>
              </a:solidFill>
              <a:latin typeface="Tenorite" panose="00000500000000000000" pitchFamily="2" charset="0"/>
            </a:rPr>
            <a:t>Current Time  :</a:t>
          </a:r>
        </a:p>
      </xdr:txBody>
    </xdr:sp>
    <xdr:clientData/>
  </xdr:oneCellAnchor>
  <xdr:twoCellAnchor>
    <xdr:from>
      <xdr:col>0</xdr:col>
      <xdr:colOff>160693</xdr:colOff>
      <xdr:row>0</xdr:row>
      <xdr:rowOff>206183</xdr:rowOff>
    </xdr:from>
    <xdr:to>
      <xdr:col>1</xdr:col>
      <xdr:colOff>2383043</xdr:colOff>
      <xdr:row>1</xdr:row>
      <xdr:rowOff>249904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8AB28-A1A3-4549-AEA1-CFEB6AE18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93" y="206183"/>
          <a:ext cx="3085203" cy="615221"/>
        </a:xfrm>
        <a:prstGeom prst="rect">
          <a:avLst/>
        </a:prstGeom>
      </xdr:spPr>
    </xdr:pic>
    <xdr:clientData/>
  </xdr:twoCellAnchor>
  <xdr:oneCellAnchor>
    <xdr:from>
      <xdr:col>7</xdr:col>
      <xdr:colOff>513025</xdr:colOff>
      <xdr:row>5</xdr:row>
      <xdr:rowOff>212726</xdr:rowOff>
    </xdr:from>
    <xdr:ext cx="2883240" cy="29051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69AE9C-5035-4D9F-AA46-6C389B93C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794174</xdr:colOff>
      <xdr:row>5</xdr:row>
      <xdr:rowOff>225781</xdr:rowOff>
    </xdr:from>
    <xdr:ext cx="2883240" cy="28846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05B74E-D601-4BDD-ACB3-7EDAC4B30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539982</xdr:colOff>
      <xdr:row>5</xdr:row>
      <xdr:rowOff>209130</xdr:rowOff>
    </xdr:from>
    <xdr:ext cx="2883240" cy="290893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46199D-E494-4CC3-AD8D-D4B3D75D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15</xdr:col>
      <xdr:colOff>399588</xdr:colOff>
      <xdr:row>5</xdr:row>
      <xdr:rowOff>214847</xdr:rowOff>
    </xdr:from>
    <xdr:ext cx="2883240" cy="2897504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B95836-ABB6-4535-9BA4-602C866D1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358588</xdr:colOff>
      <xdr:row>5</xdr:row>
      <xdr:rowOff>155890</xdr:rowOff>
    </xdr:from>
    <xdr:ext cx="4365812" cy="2940423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4CB521-24A0-427F-BB97-209622D59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</xdr:col>
      <xdr:colOff>805567</xdr:colOff>
      <xdr:row>5</xdr:row>
      <xdr:rowOff>203200</xdr:rowOff>
    </xdr:from>
    <xdr:ext cx="2955773" cy="291465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989BAD-13BF-F6EC-33CD-E70F3B529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twoCellAnchor editAs="oneCell">
    <xdr:from>
      <xdr:col>18</xdr:col>
      <xdr:colOff>1229291</xdr:colOff>
      <xdr:row>0</xdr:row>
      <xdr:rowOff>59748</xdr:rowOff>
    </xdr:from>
    <xdr:to>
      <xdr:col>18</xdr:col>
      <xdr:colOff>2130628</xdr:colOff>
      <xdr:row>3</xdr:row>
      <xdr:rowOff>206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F22D04D-DADF-49A6-A648-D4691103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6382" y="59748"/>
          <a:ext cx="898797" cy="944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2883240" cy="2853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30DE3-D30B-4846-9C86-540356456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</xdr:row>
      <xdr:rowOff>0</xdr:rowOff>
    </xdr:from>
    <xdr:ext cx="2883240" cy="28532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5175C-514C-42F0-940A-E5CB2D729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19</xdr:row>
      <xdr:rowOff>175680</xdr:rowOff>
    </xdr:from>
    <xdr:ext cx="2883240" cy="2829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85AC4-5DB2-4F9D-93C3-A30934243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19</xdr:row>
      <xdr:rowOff>175680</xdr:rowOff>
    </xdr:from>
    <xdr:ext cx="2883240" cy="2829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9961C0-D01F-4492-B646-2C50F506A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36</xdr:row>
      <xdr:rowOff>175680</xdr:rowOff>
    </xdr:from>
    <xdr:ext cx="2883240" cy="2829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811305-2D1B-4652-A36D-6765C596D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0</xdr:colOff>
      <xdr:row>36</xdr:row>
      <xdr:rowOff>175680</xdr:rowOff>
    </xdr:from>
    <xdr:ext cx="3856680" cy="37998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C5C9B3-207A-4C2F-88D2-F6713980A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6829-180A-4BE2-9B28-84EBDE583FFC}">
  <sheetPr>
    <pageSetUpPr fitToPage="1"/>
  </sheetPr>
  <dimension ref="A1:R57"/>
  <sheetViews>
    <sheetView workbookViewId="0"/>
  </sheetViews>
  <sheetFormatPr defaultColWidth="8.90625" defaultRowHeight="14.5" x14ac:dyDescent="0.35"/>
  <cols>
    <col min="1" max="18" width="5.54296875" style="81" customWidth="1"/>
    <col min="19" max="19" width="2" style="81" customWidth="1"/>
    <col min="20" max="16384" width="8.90625" style="81"/>
  </cols>
  <sheetData>
    <row r="1" spans="1:18" ht="6" customHeight="1" x14ac:dyDescent="0.35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3" customHeight="1" x14ac:dyDescent="0.3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8" ht="4" customHeight="1" x14ac:dyDescent="0.35"/>
    <row r="4" spans="1:18" ht="22" customHeight="1" x14ac:dyDescent="0.35">
      <c r="A4" s="137" t="s">
        <v>56</v>
      </c>
      <c r="B4" s="138"/>
      <c r="C4" s="138"/>
      <c r="D4" s="138"/>
      <c r="I4" s="144" t="s">
        <v>57</v>
      </c>
      <c r="J4" s="138"/>
      <c r="K4" s="138"/>
      <c r="L4" s="138"/>
      <c r="M4" s="138"/>
      <c r="N4" s="138"/>
      <c r="O4" s="138"/>
      <c r="P4" s="138"/>
      <c r="Q4" s="138"/>
      <c r="R4" s="138"/>
    </row>
    <row r="5" spans="1:18" ht="12" customHeight="1" x14ac:dyDescent="0.35">
      <c r="I5" s="144" t="s">
        <v>58</v>
      </c>
      <c r="J5" s="138"/>
      <c r="K5" s="138"/>
      <c r="L5" s="138"/>
      <c r="M5" s="138"/>
      <c r="N5" s="138"/>
      <c r="O5" s="138"/>
      <c r="P5" s="138"/>
      <c r="Q5" s="138"/>
      <c r="R5" s="138"/>
    </row>
    <row r="6" spans="1:18" ht="3" customHeight="1" x14ac:dyDescent="0.3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 spans="1:18" ht="8" customHeight="1" x14ac:dyDescent="0.35"/>
    <row r="8" spans="1:18" ht="12" customHeight="1" x14ac:dyDescent="0.35">
      <c r="A8" s="139" t="s">
        <v>59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</row>
    <row r="9" spans="1:18" ht="25" customHeight="1" x14ac:dyDescent="0.35">
      <c r="A9" s="143" t="s">
        <v>60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</row>
    <row r="10" spans="1:18" ht="15" customHeight="1" x14ac:dyDescent="0.35">
      <c r="A10" s="155" t="s">
        <v>61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</row>
    <row r="11" spans="1:18" ht="8" customHeight="1" x14ac:dyDescent="0.35"/>
    <row r="12" spans="1:18" ht="4" customHeight="1" x14ac:dyDescent="0.35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 spans="1:18" ht="12" customHeight="1" x14ac:dyDescent="0.35">
      <c r="A13" s="145" t="s">
        <v>62</v>
      </c>
      <c r="B13" s="146"/>
      <c r="C13" s="146"/>
      <c r="D13" s="147"/>
      <c r="E13" s="145" t="s">
        <v>63</v>
      </c>
      <c r="F13" s="146"/>
      <c r="G13" s="146"/>
      <c r="H13" s="147"/>
      <c r="I13" s="145" t="s">
        <v>64</v>
      </c>
      <c r="J13" s="146"/>
      <c r="K13" s="146"/>
      <c r="L13" s="146"/>
      <c r="M13" s="146"/>
      <c r="N13" s="147"/>
      <c r="O13" s="145" t="s">
        <v>65</v>
      </c>
      <c r="P13" s="146"/>
      <c r="Q13" s="146"/>
      <c r="R13" s="147"/>
    </row>
    <row r="14" spans="1:18" ht="15" customHeight="1" x14ac:dyDescent="0.35">
      <c r="A14" s="154" t="s">
        <v>66</v>
      </c>
      <c r="B14" s="146"/>
      <c r="C14" s="146"/>
      <c r="D14" s="147"/>
      <c r="E14" s="154" t="s">
        <v>67</v>
      </c>
      <c r="F14" s="146"/>
      <c r="G14" s="146"/>
      <c r="H14" s="147"/>
      <c r="I14" s="154" t="s">
        <v>68</v>
      </c>
      <c r="J14" s="146"/>
      <c r="K14" s="146"/>
      <c r="L14" s="146"/>
      <c r="M14" s="146"/>
      <c r="N14" s="147"/>
      <c r="O14" s="154" t="s">
        <v>69</v>
      </c>
      <c r="P14" s="146"/>
      <c r="Q14" s="146"/>
      <c r="R14" s="147"/>
    </row>
    <row r="15" spans="1:18" ht="12" customHeight="1" x14ac:dyDescent="0.35">
      <c r="A15" s="148" t="s">
        <v>70</v>
      </c>
      <c r="B15" s="149"/>
      <c r="C15" s="149"/>
      <c r="D15" s="150"/>
      <c r="E15" s="148" t="s">
        <v>70</v>
      </c>
      <c r="F15" s="149"/>
      <c r="G15" s="149"/>
      <c r="H15" s="150"/>
      <c r="I15" s="148" t="s">
        <v>71</v>
      </c>
      <c r="J15" s="149"/>
      <c r="K15" s="149"/>
      <c r="L15" s="149"/>
      <c r="M15" s="149"/>
      <c r="N15" s="150"/>
      <c r="O15" s="148" t="s">
        <v>72</v>
      </c>
      <c r="P15" s="149"/>
      <c r="Q15" s="149"/>
      <c r="R15" s="150"/>
    </row>
    <row r="16" spans="1:18" ht="10" customHeight="1" x14ac:dyDescent="0.35"/>
    <row r="17" ht="14.75" customHeight="1" x14ac:dyDescent="0.35"/>
    <row r="18" ht="14.75" customHeight="1" x14ac:dyDescent="0.35"/>
    <row r="19" ht="14.75" customHeight="1" x14ac:dyDescent="0.35"/>
    <row r="20" ht="14.75" customHeight="1" x14ac:dyDescent="0.35"/>
    <row r="21" ht="14.75" customHeight="1" x14ac:dyDescent="0.35"/>
    <row r="22" ht="14.75" customHeight="1" x14ac:dyDescent="0.35"/>
    <row r="23" ht="14.75" customHeight="1" x14ac:dyDescent="0.35"/>
    <row r="24" ht="14.75" customHeight="1" x14ac:dyDescent="0.35"/>
    <row r="25" ht="14.75" customHeight="1" x14ac:dyDescent="0.35"/>
    <row r="26" ht="14.75" customHeight="1" x14ac:dyDescent="0.35"/>
    <row r="27" ht="14.75" customHeight="1" x14ac:dyDescent="0.35"/>
    <row r="28" ht="14.75" customHeight="1" x14ac:dyDescent="0.35"/>
    <row r="29" ht="14.75" customHeight="1" x14ac:dyDescent="0.35"/>
    <row r="30" ht="14.75" customHeight="1" x14ac:dyDescent="0.35"/>
    <row r="31" ht="14.75" customHeight="1" x14ac:dyDescent="0.35"/>
    <row r="32" ht="14.75" customHeight="1" x14ac:dyDescent="0.35"/>
    <row r="33" spans="1:18" ht="14.75" customHeight="1" x14ac:dyDescent="0.35"/>
    <row r="34" spans="1:18" ht="14.75" customHeight="1" x14ac:dyDescent="0.35"/>
    <row r="35" spans="1:18" ht="14.75" customHeight="1" x14ac:dyDescent="0.35"/>
    <row r="36" spans="1:18" ht="14.75" customHeight="1" x14ac:dyDescent="0.35"/>
    <row r="37" spans="1:18" ht="14.75" customHeight="1" x14ac:dyDescent="0.35"/>
    <row r="38" spans="1:18" ht="14.75" customHeight="1" x14ac:dyDescent="0.35"/>
    <row r="39" spans="1:18" ht="14.75" customHeight="1" x14ac:dyDescent="0.35"/>
    <row r="40" spans="1:18" ht="14.75" customHeight="1" x14ac:dyDescent="0.35"/>
    <row r="41" spans="1:18" ht="14.75" customHeight="1" x14ac:dyDescent="0.35"/>
    <row r="42" spans="1:18" ht="14.75" customHeight="1" x14ac:dyDescent="0.35"/>
    <row r="43" spans="1:18" ht="22" customHeight="1" x14ac:dyDescent="0.35"/>
    <row r="44" spans="1:18" ht="13" customHeight="1" x14ac:dyDescent="0.35">
      <c r="A44" s="158" t="s">
        <v>73</v>
      </c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60"/>
    </row>
    <row r="45" spans="1:18" ht="12" customHeight="1" x14ac:dyDescent="0.35">
      <c r="A45" s="164" t="s">
        <v>74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65"/>
    </row>
    <row r="46" spans="1:18" ht="12" customHeight="1" x14ac:dyDescent="0.35">
      <c r="A46" s="166" t="s">
        <v>75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8"/>
    </row>
    <row r="47" spans="1:18" ht="10" customHeight="1" x14ac:dyDescent="0.35"/>
    <row r="48" spans="1:18" ht="16" customHeight="1" x14ac:dyDescent="0.35">
      <c r="A48" s="151" t="s">
        <v>76</v>
      </c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</row>
    <row r="49" spans="1:18" ht="12" customHeight="1" x14ac:dyDescent="0.35">
      <c r="A49" s="153" t="s">
        <v>77</v>
      </c>
      <c r="B49" s="146"/>
      <c r="C49" s="146"/>
      <c r="D49" s="146"/>
      <c r="E49" s="153" t="s">
        <v>78</v>
      </c>
      <c r="F49" s="146"/>
      <c r="G49" s="146"/>
      <c r="H49" s="146"/>
      <c r="I49" s="153" t="s">
        <v>79</v>
      </c>
      <c r="J49" s="146"/>
      <c r="K49" s="146"/>
      <c r="L49" s="146"/>
      <c r="M49" s="146"/>
      <c r="N49" s="146"/>
      <c r="O49" s="153" t="s">
        <v>80</v>
      </c>
      <c r="P49" s="146"/>
      <c r="Q49" s="146"/>
      <c r="R49" s="146"/>
    </row>
    <row r="50" spans="1:18" ht="16" customHeight="1" x14ac:dyDescent="0.35">
      <c r="A50" s="156"/>
      <c r="B50" s="149"/>
      <c r="C50" s="149"/>
      <c r="D50" s="149"/>
      <c r="E50" s="156"/>
      <c r="F50" s="149"/>
      <c r="G50" s="149"/>
      <c r="H50" s="149"/>
      <c r="I50" s="156"/>
      <c r="J50" s="149"/>
      <c r="K50" s="149"/>
      <c r="L50" s="149"/>
      <c r="M50" s="149"/>
      <c r="N50" s="149"/>
      <c r="O50" s="156"/>
      <c r="P50" s="149"/>
      <c r="Q50" s="149"/>
      <c r="R50" s="149"/>
    </row>
    <row r="51" spans="1:18" ht="8" customHeight="1" x14ac:dyDescent="0.35"/>
    <row r="52" spans="1:18" ht="12" customHeight="1" x14ac:dyDescent="0.35">
      <c r="A52" s="140" t="s">
        <v>81</v>
      </c>
      <c r="B52" s="141"/>
      <c r="C52" s="141"/>
      <c r="D52" s="142"/>
      <c r="E52" s="140" t="s">
        <v>82</v>
      </c>
      <c r="F52" s="141"/>
      <c r="G52" s="141"/>
      <c r="H52" s="142"/>
      <c r="I52" s="140" t="s">
        <v>83</v>
      </c>
      <c r="J52" s="141"/>
      <c r="K52" s="141"/>
      <c r="L52" s="141"/>
      <c r="M52" s="141"/>
      <c r="N52" s="142"/>
      <c r="O52" s="140" t="s">
        <v>84</v>
      </c>
      <c r="P52" s="141"/>
      <c r="Q52" s="141"/>
      <c r="R52" s="142"/>
    </row>
    <row r="53" spans="1:18" ht="34" customHeight="1" x14ac:dyDescent="0.35">
      <c r="A53" s="157"/>
      <c r="B53" s="146"/>
      <c r="C53" s="146"/>
      <c r="D53" s="147"/>
      <c r="E53" s="157"/>
      <c r="F53" s="146"/>
      <c r="G53" s="146"/>
      <c r="H53" s="147"/>
      <c r="I53" s="157"/>
      <c r="J53" s="146"/>
      <c r="K53" s="146"/>
      <c r="L53" s="146"/>
      <c r="M53" s="146"/>
      <c r="N53" s="147"/>
      <c r="O53" s="157"/>
      <c r="P53" s="146"/>
      <c r="Q53" s="146"/>
      <c r="R53" s="147"/>
    </row>
    <row r="54" spans="1:18" ht="12" customHeight="1" x14ac:dyDescent="0.35">
      <c r="A54" s="148" t="s">
        <v>85</v>
      </c>
      <c r="B54" s="149"/>
      <c r="C54" s="149"/>
      <c r="D54" s="150"/>
      <c r="E54" s="148" t="s">
        <v>85</v>
      </c>
      <c r="F54" s="149"/>
      <c r="G54" s="149"/>
      <c r="H54" s="150"/>
      <c r="I54" s="148" t="s">
        <v>85</v>
      </c>
      <c r="J54" s="149"/>
      <c r="K54" s="149"/>
      <c r="L54" s="149"/>
      <c r="M54" s="149"/>
      <c r="N54" s="150"/>
      <c r="O54" s="148" t="s">
        <v>85</v>
      </c>
      <c r="P54" s="149"/>
      <c r="Q54" s="149"/>
      <c r="R54" s="150"/>
    </row>
    <row r="55" spans="1:18" ht="10" customHeight="1" x14ac:dyDescent="0.35"/>
    <row r="56" spans="1:18" ht="12" customHeight="1" x14ac:dyDescent="0.35">
      <c r="A56" s="163" t="s">
        <v>86</v>
      </c>
      <c r="B56" s="138"/>
      <c r="C56" s="138"/>
      <c r="D56" s="138"/>
      <c r="E56" s="138"/>
      <c r="F56" s="138"/>
      <c r="G56" s="138"/>
      <c r="H56" s="138"/>
      <c r="I56" s="162" t="s">
        <v>87</v>
      </c>
      <c r="J56" s="138"/>
      <c r="K56" s="138"/>
      <c r="L56" s="138"/>
      <c r="M56" s="138"/>
      <c r="N56" s="138"/>
      <c r="O56" s="138"/>
      <c r="P56" s="138"/>
      <c r="Q56" s="138"/>
      <c r="R56" s="138"/>
    </row>
    <row r="57" spans="1:18" ht="14" customHeight="1" x14ac:dyDescent="0.35">
      <c r="A57" s="161" t="s">
        <v>88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</row>
  </sheetData>
  <mergeCells count="45">
    <mergeCell ref="A57:R57"/>
    <mergeCell ref="A14:D14"/>
    <mergeCell ref="I56:R56"/>
    <mergeCell ref="E14:H14"/>
    <mergeCell ref="O49:R49"/>
    <mergeCell ref="E52:H52"/>
    <mergeCell ref="A56:H56"/>
    <mergeCell ref="O52:R52"/>
    <mergeCell ref="A45:R45"/>
    <mergeCell ref="A54:D54"/>
    <mergeCell ref="I54:N54"/>
    <mergeCell ref="O54:R54"/>
    <mergeCell ref="A46:R46"/>
    <mergeCell ref="I53:N53"/>
    <mergeCell ref="A50:D50"/>
    <mergeCell ref="E49:H49"/>
    <mergeCell ref="E54:H54"/>
    <mergeCell ref="A13:D13"/>
    <mergeCell ref="I13:N13"/>
    <mergeCell ref="A10:R10"/>
    <mergeCell ref="I50:N50"/>
    <mergeCell ref="O53:R53"/>
    <mergeCell ref="O50:R50"/>
    <mergeCell ref="E53:H53"/>
    <mergeCell ref="A44:R44"/>
    <mergeCell ref="E50:H50"/>
    <mergeCell ref="E15:H15"/>
    <mergeCell ref="O15:R15"/>
    <mergeCell ref="A15:D15"/>
    <mergeCell ref="A53:D53"/>
    <mergeCell ref="A4:D4"/>
    <mergeCell ref="A8:R8"/>
    <mergeCell ref="A52:D52"/>
    <mergeCell ref="A9:R9"/>
    <mergeCell ref="I5:R5"/>
    <mergeCell ref="E13:H13"/>
    <mergeCell ref="I4:R4"/>
    <mergeCell ref="O13:R13"/>
    <mergeCell ref="I15:N15"/>
    <mergeCell ref="A48:R48"/>
    <mergeCell ref="A49:D49"/>
    <mergeCell ref="I49:N49"/>
    <mergeCell ref="I14:N14"/>
    <mergeCell ref="I52:N52"/>
    <mergeCell ref="O14:R14"/>
  </mergeCells>
  <printOptions horizontalCentered="1"/>
  <pageMargins left="0.5" right="0.5" top="0.5" bottom="0.5" header="0.2" footer="0.2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86"/>
  <sheetViews>
    <sheetView showGridLines="0" tabSelected="1" topLeftCell="A108" zoomScale="73" zoomScaleNormal="73" workbookViewId="0">
      <selection activeCell="I29" sqref="I29"/>
    </sheetView>
  </sheetViews>
  <sheetFormatPr defaultColWidth="8.6328125" defaultRowHeight="14.5" x14ac:dyDescent="0.35"/>
  <cols>
    <col min="1" max="1" width="12.6328125" customWidth="1"/>
    <col min="2" max="2" width="60.90625" customWidth="1"/>
    <col min="3" max="3" width="14.1796875" style="98" customWidth="1"/>
    <col min="4" max="4" width="7.54296875" customWidth="1"/>
    <col min="5" max="5" width="7.08984375" customWidth="1"/>
    <col min="6" max="6" width="19.08984375" customWidth="1"/>
    <col min="7" max="7" width="12.453125" customWidth="1"/>
    <col min="8" max="9" width="12.81640625" customWidth="1"/>
    <col min="10" max="10" width="14.6328125" customWidth="1"/>
    <col min="11" max="11" width="14.453125" customWidth="1"/>
    <col min="12" max="12" width="15.453125" customWidth="1"/>
    <col min="13" max="13" width="11.90625" customWidth="1"/>
    <col min="14" max="14" width="14.08984375" customWidth="1"/>
    <col min="15" max="15" width="14" customWidth="1"/>
    <col min="16" max="16" width="19.36328125" customWidth="1"/>
    <col min="17" max="17" width="26.08984375" customWidth="1"/>
    <col min="18" max="18" width="18.36328125" customWidth="1"/>
    <col min="19" max="19" width="40.81640625" customWidth="1"/>
    <col min="20" max="20" width="3.36328125" customWidth="1"/>
    <col min="21" max="21" width="17.81640625" customWidth="1"/>
    <col min="22" max="22" width="22.81640625" customWidth="1"/>
    <col min="23" max="23" width="30.453125" customWidth="1"/>
    <col min="24" max="25" width="8.81640625" customWidth="1"/>
    <col min="26" max="26" width="17.54296875" customWidth="1"/>
  </cols>
  <sheetData>
    <row r="1" spans="1:26" ht="45" customHeight="1" x14ac:dyDescent="0.35">
      <c r="A1" s="124" t="s">
        <v>92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26" ht="33" customHeight="1" x14ac:dyDescent="0.35">
      <c r="A2" s="125" t="s">
        <v>93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</row>
    <row r="3" spans="1:26" ht="1.25" customHeight="1" x14ac:dyDescent="0.35">
      <c r="A3" s="29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30"/>
    </row>
    <row r="4" spans="1:26" ht="36" customHeight="1" x14ac:dyDescent="0.35">
      <c r="A4" s="128">
        <f ca="1">NOW()</f>
        <v>46305.345178819443</v>
      </c>
      <c r="B4" s="129"/>
      <c r="C4" s="130" t="s">
        <v>99</v>
      </c>
      <c r="D4" s="130"/>
      <c r="E4" s="130"/>
      <c r="F4" s="130"/>
      <c r="G4" s="130"/>
      <c r="H4" s="131"/>
      <c r="I4" s="107"/>
      <c r="J4" s="126" t="s">
        <v>100</v>
      </c>
      <c r="K4" s="127"/>
      <c r="L4" s="127"/>
      <c r="M4" s="127"/>
      <c r="N4" s="127"/>
      <c r="O4" s="134" t="s">
        <v>41</v>
      </c>
      <c r="P4" s="135"/>
      <c r="Q4" s="135"/>
      <c r="R4" s="132" t="str">
        <f ca="1">V13</f>
        <v>7day15hrs41mins</v>
      </c>
      <c r="S4" s="133"/>
    </row>
    <row r="5" spans="1:26" ht="15" customHeight="1" x14ac:dyDescent="0.35">
      <c r="A5" s="86"/>
      <c r="B5" s="38"/>
      <c r="C5" s="9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9"/>
      <c r="V5" s="36">
        <v>46311.999305555553</v>
      </c>
      <c r="Y5" s="1" t="s">
        <v>0</v>
      </c>
      <c r="Z5" s="27">
        <v>46312.999305555553</v>
      </c>
    </row>
    <row r="6" spans="1:26" ht="32.4" customHeight="1" x14ac:dyDescent="0.35">
      <c r="A6" s="32"/>
      <c r="S6" s="31"/>
    </row>
    <row r="7" spans="1:26" ht="32.4" customHeight="1" x14ac:dyDescent="0.35">
      <c r="A7" s="32"/>
      <c r="S7" s="31"/>
    </row>
    <row r="8" spans="1:26" ht="32.4" customHeight="1" x14ac:dyDescent="0.35">
      <c r="A8" s="32"/>
      <c r="S8" s="31"/>
    </row>
    <row r="9" spans="1:26" ht="32.4" customHeight="1" x14ac:dyDescent="0.35">
      <c r="A9" s="32"/>
      <c r="S9" s="31"/>
      <c r="V9" s="35">
        <f ca="1">NOW()</f>
        <v>46305.345178819443</v>
      </c>
    </row>
    <row r="10" spans="1:26" ht="32.4" customHeight="1" x14ac:dyDescent="0.35">
      <c r="A10" s="32"/>
      <c r="S10" s="31"/>
    </row>
    <row r="11" spans="1:26" ht="32.4" customHeight="1" x14ac:dyDescent="0.35">
      <c r="A11" s="32"/>
      <c r="S11" s="31"/>
    </row>
    <row r="12" spans="1:26" ht="32.4" customHeight="1" x14ac:dyDescent="0.35">
      <c r="A12" s="32"/>
      <c r="S12" s="31"/>
    </row>
    <row r="13" spans="1:26" ht="15.65" customHeight="1" x14ac:dyDescent="0.35">
      <c r="A13" s="37"/>
      <c r="B13" s="87"/>
      <c r="S13" s="31"/>
      <c r="V13" t="str">
        <f ca="1">INT(Z5-V9)&amp;"day"&amp;TEXT(Z5-V9,"h""hrs""m""mins""")</f>
        <v>7day15hrs41mins</v>
      </c>
    </row>
    <row r="14" spans="1:26" ht="15" customHeight="1" thickBot="1" x14ac:dyDescent="0.4">
      <c r="A14" s="88"/>
      <c r="B14" s="89"/>
      <c r="C14" s="99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1"/>
      <c r="U14" t="str">
        <f>IF(OR(B2="",G2=""),"",IF(G2&lt;B2,"Ahead",IF(G2=B2,"On-Time","Delayed")))</f>
        <v/>
      </c>
      <c r="V14" s="36"/>
    </row>
    <row r="15" spans="1:26" ht="24.75" customHeight="1" x14ac:dyDescent="0.35">
      <c r="A15" s="116" t="s">
        <v>1</v>
      </c>
      <c r="B15" s="112" t="s">
        <v>2</v>
      </c>
      <c r="C15" s="118" t="s">
        <v>3</v>
      </c>
      <c r="D15" s="118" t="s">
        <v>4</v>
      </c>
      <c r="E15" s="118" t="s">
        <v>5</v>
      </c>
      <c r="F15" s="85"/>
      <c r="G15" s="120" t="s">
        <v>7</v>
      </c>
      <c r="H15" s="121"/>
      <c r="I15" s="122" t="s">
        <v>101</v>
      </c>
      <c r="J15" s="123"/>
      <c r="K15" s="120" t="s">
        <v>9</v>
      </c>
      <c r="L15" s="121"/>
      <c r="M15" s="112" t="s">
        <v>10</v>
      </c>
      <c r="N15" s="120" t="s">
        <v>11</v>
      </c>
      <c r="O15" s="121"/>
      <c r="P15" s="112" t="s">
        <v>12</v>
      </c>
      <c r="Q15" s="114" t="s">
        <v>35</v>
      </c>
      <c r="R15" s="112" t="s">
        <v>13</v>
      </c>
      <c r="S15" s="110" t="s">
        <v>14</v>
      </c>
    </row>
    <row r="16" spans="1:26" ht="66" customHeight="1" thickBot="1" x14ac:dyDescent="0.55000000000000004">
      <c r="A16" s="117"/>
      <c r="B16" s="113"/>
      <c r="C16" s="119"/>
      <c r="D16" s="119"/>
      <c r="E16" s="119"/>
      <c r="F16" s="25" t="s">
        <v>6</v>
      </c>
      <c r="G16" s="26" t="s">
        <v>15</v>
      </c>
      <c r="H16" s="26" t="s">
        <v>16</v>
      </c>
      <c r="I16" s="26" t="s">
        <v>15</v>
      </c>
      <c r="J16" s="26" t="s">
        <v>16</v>
      </c>
      <c r="K16" s="26" t="s">
        <v>15</v>
      </c>
      <c r="L16" s="26" t="s">
        <v>16</v>
      </c>
      <c r="M16" s="113"/>
      <c r="N16" s="26" t="s">
        <v>15</v>
      </c>
      <c r="O16" s="26" t="s">
        <v>16</v>
      </c>
      <c r="P16" s="113"/>
      <c r="Q16" s="115"/>
      <c r="R16" s="113"/>
      <c r="S16" s="111"/>
      <c r="W16" s="93"/>
    </row>
    <row r="17" spans="1:22" ht="15.5" hidden="1" thickTop="1" thickBot="1" x14ac:dyDescent="0.4">
      <c r="A17" s="32"/>
      <c r="S17" s="31"/>
      <c r="V17" s="15" t="s">
        <v>36</v>
      </c>
    </row>
    <row r="18" spans="1:22" ht="44.5" thickTop="1" x14ac:dyDescent="0.35">
      <c r="A18" s="136" t="s">
        <v>94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V18" s="28" t="s">
        <v>37</v>
      </c>
    </row>
    <row r="19" spans="1:22" ht="29.4" customHeight="1" x14ac:dyDescent="0.35">
      <c r="A19" s="2">
        <v>1</v>
      </c>
      <c r="B19" s="3" t="s">
        <v>17</v>
      </c>
      <c r="C19" s="4" t="s">
        <v>18</v>
      </c>
      <c r="D19" s="5"/>
      <c r="E19" s="5"/>
      <c r="F19" s="6"/>
      <c r="G19" s="48"/>
      <c r="H19" s="49"/>
      <c r="I19" s="49"/>
      <c r="J19" s="50"/>
      <c r="K19" s="51"/>
      <c r="L19" s="51"/>
      <c r="M19" s="75"/>
      <c r="N19" s="51"/>
      <c r="O19" s="51"/>
      <c r="P19" s="75"/>
      <c r="Q19" s="52"/>
      <c r="R19" s="53" t="str">
        <f>IF(F19=100%,"Completed",IF(F19=0,"Not Started","In Progress"))</f>
        <v>Not Started</v>
      </c>
      <c r="S19" s="94"/>
      <c r="V19" s="28" t="s">
        <v>38</v>
      </c>
    </row>
    <row r="20" spans="1:22" ht="29.4" customHeight="1" x14ac:dyDescent="0.35">
      <c r="A20" s="24">
        <f>A19+1</f>
        <v>2</v>
      </c>
      <c r="B20" s="16" t="s">
        <v>102</v>
      </c>
      <c r="C20" s="102">
        <f>1/24</f>
        <v>4.1666666666666664E-2</v>
      </c>
      <c r="D20" s="17">
        <v>2.0299999999999998</v>
      </c>
      <c r="E20" s="17">
        <f t="shared" ref="E20" si="0">D20*F20</f>
        <v>0</v>
      </c>
      <c r="F20" s="18"/>
      <c r="G20" s="55">
        <v>46311</v>
      </c>
      <c r="H20" s="56">
        <v>46311</v>
      </c>
      <c r="I20" s="56"/>
      <c r="J20" s="57"/>
      <c r="K20" s="58">
        <v>0</v>
      </c>
      <c r="L20" s="58">
        <f>K20+C20</f>
        <v>4.1666666666666664E-2</v>
      </c>
      <c r="M20" s="76">
        <f>L20-K20</f>
        <v>4.1666666666666664E-2</v>
      </c>
      <c r="N20" s="21"/>
      <c r="O20" s="21"/>
      <c r="P20" s="76" t="str">
        <f>IF(OR(I20="",J20="",N20="",O20=""),"",((J20+O20)-(I20+N20)))</f>
        <v/>
      </c>
      <c r="Q20" s="59" t="str">
        <f>IF(OR(H20="",J20="",L20="",O20=""),"",IF((J20+O20)&lt;(H20+L20),"Ahead",IF((J20+O20)=(H20+L20),"On-Time","Delayed")))</f>
        <v/>
      </c>
      <c r="R20" s="60" t="str">
        <f t="shared" ref="R20:R46" si="1">IF(F20=100%,"Completed",IF(F20=0,"Not Started","In Progress"))</f>
        <v>Not Started</v>
      </c>
      <c r="S20" s="95" t="s">
        <v>90</v>
      </c>
      <c r="V20" s="28"/>
    </row>
    <row r="21" spans="1:22" ht="29.4" customHeight="1" x14ac:dyDescent="0.35">
      <c r="A21" s="2">
        <v>3</v>
      </c>
      <c r="B21" s="7" t="s">
        <v>19</v>
      </c>
      <c r="C21" s="96">
        <f>1/24</f>
        <v>4.1666666666666664E-2</v>
      </c>
      <c r="D21" s="5">
        <f t="shared" ref="D21:D41" si="2">(C21/$C$47)*100</f>
        <v>2.0408163265306118</v>
      </c>
      <c r="E21" s="5">
        <f>D21*F21</f>
        <v>0</v>
      </c>
      <c r="F21" s="6"/>
      <c r="G21" s="8">
        <v>46311</v>
      </c>
      <c r="H21" s="8">
        <v>46311</v>
      </c>
      <c r="I21" s="8"/>
      <c r="J21" s="8"/>
      <c r="K21" s="10">
        <v>4.1666666666666664E-2</v>
      </c>
      <c r="L21" s="10">
        <v>8.3333333333333329E-2</v>
      </c>
      <c r="M21" s="77">
        <f t="shared" ref="M21:M46" si="3">L21-K21</f>
        <v>4.1666666666666664E-2</v>
      </c>
      <c r="N21" s="10"/>
      <c r="O21" s="10"/>
      <c r="P21" s="77" t="str">
        <f>IF(OR(I21="",J21="",N21="",O21=""),"",((J21+O21)-(I21+N21)))</f>
        <v/>
      </c>
      <c r="Q21" s="11" t="str">
        <f>IF(OR(H21="",J21="",L21="",O21=""),"",IF((J21+O21)&lt;(H21+L21),"Ahead",IF((J21+O21)=(H21+L21),"On-Time","Delayed")))</f>
        <v/>
      </c>
      <c r="R21" s="12" t="str">
        <f t="shared" si="1"/>
        <v>Not Started</v>
      </c>
      <c r="S21" s="61"/>
      <c r="V21" s="28" t="s">
        <v>39</v>
      </c>
    </row>
    <row r="22" spans="1:22" ht="29.4" customHeight="1" x14ac:dyDescent="0.35">
      <c r="A22" s="2">
        <f t="shared" ref="A22:A36" si="4">A21+1</f>
        <v>4</v>
      </c>
      <c r="B22" s="7" t="s">
        <v>103</v>
      </c>
      <c r="C22" s="92">
        <v>4.1666666666666664E-2</v>
      </c>
      <c r="D22" s="5">
        <f t="shared" si="2"/>
        <v>2.0408163265306118</v>
      </c>
      <c r="E22" s="5">
        <f t="shared" ref="E22:E46" si="5">D22*F22</f>
        <v>0</v>
      </c>
      <c r="F22" s="6"/>
      <c r="G22" s="8">
        <v>46311</v>
      </c>
      <c r="H22" s="8">
        <v>46311</v>
      </c>
      <c r="I22" s="8"/>
      <c r="J22" s="9"/>
      <c r="K22" s="10">
        <v>0</v>
      </c>
      <c r="L22" s="10">
        <v>4.1666666666666664E-2</v>
      </c>
      <c r="M22" s="77">
        <f t="shared" si="3"/>
        <v>4.1666666666666664E-2</v>
      </c>
      <c r="N22" s="10"/>
      <c r="O22" s="10"/>
      <c r="P22" s="77" t="str">
        <f t="shared" ref="P22:P46" si="6">IF(OR(I22="",J22="",N22="",O22=""),"",((J22+O22)-(I22+N22)))</f>
        <v/>
      </c>
      <c r="Q22" s="11" t="str">
        <f t="shared" ref="Q22:Q46" si="7">IF(OR(H22="",J22="",L22="",O22=""),"",IF((J22+O22)&lt;(H22+L22),"Ahead",IF((J22+O22)=(H22+L22),"On-Time","Delayed")))</f>
        <v/>
      </c>
      <c r="R22" s="12" t="str">
        <f t="shared" si="1"/>
        <v>Not Started</v>
      </c>
      <c r="S22" s="33"/>
      <c r="V22" s="28"/>
    </row>
    <row r="23" spans="1:22" ht="29.4" customHeight="1" x14ac:dyDescent="0.35">
      <c r="A23" s="2">
        <f t="shared" si="4"/>
        <v>5</v>
      </c>
      <c r="B23" s="7" t="s">
        <v>21</v>
      </c>
      <c r="C23" s="62">
        <f t="shared" ref="C23" si="8">1/24</f>
        <v>4.1666666666666664E-2</v>
      </c>
      <c r="D23" s="5">
        <f t="shared" si="2"/>
        <v>2.0408163265306118</v>
      </c>
      <c r="E23" s="5">
        <f t="shared" si="5"/>
        <v>0</v>
      </c>
      <c r="F23" s="6"/>
      <c r="G23" s="8">
        <v>46311</v>
      </c>
      <c r="H23" s="8">
        <v>46311</v>
      </c>
      <c r="I23" s="8"/>
      <c r="J23" s="9"/>
      <c r="K23" s="10">
        <f>L21</f>
        <v>8.3333333333333329E-2</v>
      </c>
      <c r="L23" s="10">
        <f t="shared" ref="L23:L46" si="9">K23+C23</f>
        <v>0.125</v>
      </c>
      <c r="M23" s="77">
        <f t="shared" si="3"/>
        <v>4.1666666666666671E-2</v>
      </c>
      <c r="N23" s="10"/>
      <c r="O23" s="10"/>
      <c r="P23" s="77" t="str">
        <f t="shared" si="6"/>
        <v/>
      </c>
      <c r="Q23" s="11" t="str">
        <f t="shared" si="7"/>
        <v/>
      </c>
      <c r="R23" s="12" t="str">
        <f t="shared" si="1"/>
        <v>Not Started</v>
      </c>
      <c r="S23" s="33"/>
      <c r="V23" s="28" t="s">
        <v>40</v>
      </c>
    </row>
    <row r="24" spans="1:22" ht="29.4" customHeight="1" x14ac:dyDescent="0.35">
      <c r="A24" s="2">
        <f t="shared" si="4"/>
        <v>6</v>
      </c>
      <c r="B24" s="7" t="s">
        <v>22</v>
      </c>
      <c r="C24" s="62">
        <f>3/24</f>
        <v>0.125</v>
      </c>
      <c r="D24" s="5">
        <f t="shared" si="2"/>
        <v>6.1224489795918355</v>
      </c>
      <c r="E24" s="5">
        <f t="shared" si="5"/>
        <v>0</v>
      </c>
      <c r="F24" s="6"/>
      <c r="G24" s="8">
        <v>46311</v>
      </c>
      <c r="H24" s="8">
        <v>46311</v>
      </c>
      <c r="I24" s="8"/>
      <c r="J24" s="9"/>
      <c r="K24" s="10">
        <f>L23</f>
        <v>0.125</v>
      </c>
      <c r="L24" s="10">
        <f t="shared" si="9"/>
        <v>0.25</v>
      </c>
      <c r="M24" s="77">
        <f t="shared" si="3"/>
        <v>0.125</v>
      </c>
      <c r="N24" s="10"/>
      <c r="O24" s="10"/>
      <c r="P24" s="77" t="str">
        <f t="shared" si="6"/>
        <v/>
      </c>
      <c r="Q24" s="11" t="str">
        <f t="shared" si="7"/>
        <v/>
      </c>
      <c r="R24" s="12" t="str">
        <f t="shared" si="1"/>
        <v>Not Started</v>
      </c>
      <c r="S24" s="33"/>
    </row>
    <row r="25" spans="1:22" ht="29.4" customHeight="1" x14ac:dyDescent="0.35">
      <c r="A25" s="2">
        <f t="shared" si="4"/>
        <v>7</v>
      </c>
      <c r="B25" s="7" t="s">
        <v>23</v>
      </c>
      <c r="C25" s="62">
        <f>4/24</f>
        <v>0.16666666666666666</v>
      </c>
      <c r="D25" s="5">
        <f t="shared" si="2"/>
        <v>8.1632653061224474</v>
      </c>
      <c r="E25" s="5">
        <f t="shared" si="5"/>
        <v>0</v>
      </c>
      <c r="F25" s="6"/>
      <c r="G25" s="8">
        <v>46311</v>
      </c>
      <c r="H25" s="8">
        <v>46311</v>
      </c>
      <c r="I25" s="8"/>
      <c r="J25" s="9"/>
      <c r="K25" s="10">
        <f>L24</f>
        <v>0.25</v>
      </c>
      <c r="L25" s="10">
        <f t="shared" si="9"/>
        <v>0.41666666666666663</v>
      </c>
      <c r="M25" s="77">
        <f t="shared" si="3"/>
        <v>0.16666666666666663</v>
      </c>
      <c r="N25" s="10"/>
      <c r="O25" s="10"/>
      <c r="P25" s="77" t="str">
        <f t="shared" si="6"/>
        <v/>
      </c>
      <c r="Q25" s="11" t="str">
        <f t="shared" si="7"/>
        <v/>
      </c>
      <c r="R25" s="12" t="str">
        <f t="shared" si="1"/>
        <v>Not Started</v>
      </c>
      <c r="S25" s="33"/>
    </row>
    <row r="26" spans="1:22" ht="29.4" customHeight="1" x14ac:dyDescent="0.35">
      <c r="A26" s="2">
        <f t="shared" si="4"/>
        <v>8</v>
      </c>
      <c r="B26" s="7" t="s">
        <v>24</v>
      </c>
      <c r="C26" s="62">
        <f>2/24</f>
        <v>8.3333333333333329E-2</v>
      </c>
      <c r="D26" s="5">
        <f t="shared" si="2"/>
        <v>4.0816326530612237</v>
      </c>
      <c r="E26" s="5">
        <f t="shared" si="5"/>
        <v>0</v>
      </c>
      <c r="F26" s="6"/>
      <c r="G26" s="8">
        <v>46311</v>
      </c>
      <c r="H26" s="8">
        <v>46311</v>
      </c>
      <c r="I26" s="8"/>
      <c r="J26" s="9"/>
      <c r="K26" s="10">
        <f t="shared" ref="K26:K46" si="10">L25</f>
        <v>0.41666666666666663</v>
      </c>
      <c r="L26" s="10">
        <f t="shared" si="9"/>
        <v>0.49999999999999994</v>
      </c>
      <c r="M26" s="77">
        <f t="shared" si="3"/>
        <v>8.3333333333333315E-2</v>
      </c>
      <c r="N26" s="10"/>
      <c r="O26" s="10"/>
      <c r="P26" s="77" t="str">
        <f t="shared" si="6"/>
        <v/>
      </c>
      <c r="Q26" s="11" t="str">
        <f t="shared" si="7"/>
        <v/>
      </c>
      <c r="R26" s="12" t="str">
        <f t="shared" si="1"/>
        <v>Not Started</v>
      </c>
      <c r="S26" s="33"/>
    </row>
    <row r="27" spans="1:22" ht="29.4" customHeight="1" x14ac:dyDescent="0.35">
      <c r="A27" s="2">
        <f t="shared" si="4"/>
        <v>9</v>
      </c>
      <c r="B27" s="7" t="s">
        <v>25</v>
      </c>
      <c r="C27" s="62">
        <f>5/24</f>
        <v>0.20833333333333334</v>
      </c>
      <c r="D27" s="5">
        <f t="shared" si="2"/>
        <v>10.204081632653059</v>
      </c>
      <c r="E27" s="5">
        <f t="shared" si="5"/>
        <v>0</v>
      </c>
      <c r="F27" s="6"/>
      <c r="G27" s="8">
        <v>46311</v>
      </c>
      <c r="H27" s="8">
        <v>46311</v>
      </c>
      <c r="I27" s="8"/>
      <c r="J27" s="9"/>
      <c r="K27" s="10">
        <f t="shared" si="10"/>
        <v>0.49999999999999994</v>
      </c>
      <c r="L27" s="10">
        <f t="shared" si="9"/>
        <v>0.70833333333333326</v>
      </c>
      <c r="M27" s="77">
        <f t="shared" si="3"/>
        <v>0.20833333333333331</v>
      </c>
      <c r="N27" s="10"/>
      <c r="O27" s="10"/>
      <c r="P27" s="77" t="str">
        <f t="shared" si="6"/>
        <v/>
      </c>
      <c r="Q27" s="11" t="str">
        <f t="shared" si="7"/>
        <v/>
      </c>
      <c r="R27" s="12" t="str">
        <f t="shared" si="1"/>
        <v>Not Started</v>
      </c>
      <c r="S27" s="33"/>
    </row>
    <row r="28" spans="1:22" ht="29.4" customHeight="1" x14ac:dyDescent="0.35">
      <c r="A28" s="2">
        <f t="shared" si="4"/>
        <v>10</v>
      </c>
      <c r="B28" s="7" t="s">
        <v>26</v>
      </c>
      <c r="C28" s="62">
        <f>2/24</f>
        <v>8.3333333333333329E-2</v>
      </c>
      <c r="D28" s="5">
        <f t="shared" si="2"/>
        <v>4.0816326530612237</v>
      </c>
      <c r="E28" s="5">
        <f t="shared" si="5"/>
        <v>0</v>
      </c>
      <c r="F28" s="6"/>
      <c r="G28" s="8">
        <v>46311</v>
      </c>
      <c r="H28" s="8">
        <v>46311</v>
      </c>
      <c r="I28" s="8"/>
      <c r="J28" s="9"/>
      <c r="K28" s="10">
        <f t="shared" si="10"/>
        <v>0.70833333333333326</v>
      </c>
      <c r="L28" s="10">
        <f t="shared" si="9"/>
        <v>0.79166666666666663</v>
      </c>
      <c r="M28" s="77">
        <f t="shared" si="3"/>
        <v>8.333333333333337E-2</v>
      </c>
      <c r="N28" s="10"/>
      <c r="O28" s="10"/>
      <c r="P28" s="77" t="str">
        <f t="shared" si="6"/>
        <v/>
      </c>
      <c r="Q28" s="11" t="str">
        <f t="shared" si="7"/>
        <v/>
      </c>
      <c r="R28" s="12" t="str">
        <f t="shared" si="1"/>
        <v>Not Started</v>
      </c>
      <c r="S28" s="33"/>
    </row>
    <row r="29" spans="1:22" ht="29.4" customHeight="1" x14ac:dyDescent="0.35">
      <c r="A29" s="2">
        <f t="shared" si="4"/>
        <v>11</v>
      </c>
      <c r="B29" s="7" t="s">
        <v>27</v>
      </c>
      <c r="C29" s="62">
        <f>5/24</f>
        <v>0.20833333333333334</v>
      </c>
      <c r="D29" s="5">
        <f t="shared" si="2"/>
        <v>10.204081632653059</v>
      </c>
      <c r="E29" s="5">
        <f t="shared" si="5"/>
        <v>0</v>
      </c>
      <c r="F29" s="6"/>
      <c r="G29" s="8">
        <v>46311</v>
      </c>
      <c r="H29" s="8">
        <v>46311</v>
      </c>
      <c r="I29" s="8"/>
      <c r="J29" s="9"/>
      <c r="K29" s="10">
        <f t="shared" si="10"/>
        <v>0.79166666666666663</v>
      </c>
      <c r="L29" s="10">
        <f t="shared" si="9"/>
        <v>1</v>
      </c>
      <c r="M29" s="77">
        <f t="shared" si="3"/>
        <v>0.20833333333333337</v>
      </c>
      <c r="N29" s="10"/>
      <c r="O29" s="10"/>
      <c r="P29" s="77" t="str">
        <f t="shared" si="6"/>
        <v/>
      </c>
      <c r="Q29" s="11" t="str">
        <f t="shared" si="7"/>
        <v/>
      </c>
      <c r="R29" s="12" t="str">
        <f t="shared" si="1"/>
        <v>Not Started</v>
      </c>
      <c r="S29" s="33"/>
    </row>
    <row r="30" spans="1:22" ht="29.4" customHeight="1" x14ac:dyDescent="0.35">
      <c r="A30" s="2">
        <f t="shared" si="4"/>
        <v>12</v>
      </c>
      <c r="B30" s="7" t="s">
        <v>55</v>
      </c>
      <c r="C30" s="62">
        <f>2/24</f>
        <v>8.3333333333333329E-2</v>
      </c>
      <c r="D30" s="5">
        <f t="shared" si="2"/>
        <v>4.0816326530612237</v>
      </c>
      <c r="E30" s="5">
        <f t="shared" si="5"/>
        <v>0</v>
      </c>
      <c r="F30" s="6"/>
      <c r="G30" s="8">
        <v>46312</v>
      </c>
      <c r="H30" s="8">
        <v>46312</v>
      </c>
      <c r="I30" s="8"/>
      <c r="J30" s="9"/>
      <c r="K30" s="10">
        <f t="shared" si="10"/>
        <v>1</v>
      </c>
      <c r="L30" s="10">
        <f t="shared" si="9"/>
        <v>1.0833333333333333</v>
      </c>
      <c r="M30" s="77">
        <f t="shared" si="3"/>
        <v>8.3333333333333259E-2</v>
      </c>
      <c r="N30" s="10"/>
      <c r="O30" s="10"/>
      <c r="P30" s="77" t="str">
        <f t="shared" si="6"/>
        <v/>
      </c>
      <c r="Q30" s="11" t="str">
        <f t="shared" si="7"/>
        <v/>
      </c>
      <c r="R30" s="12" t="str">
        <f t="shared" si="1"/>
        <v>Not Started</v>
      </c>
      <c r="S30" s="33"/>
    </row>
    <row r="31" spans="1:22" ht="29.4" customHeight="1" x14ac:dyDescent="0.35">
      <c r="A31" s="2">
        <f t="shared" si="4"/>
        <v>13</v>
      </c>
      <c r="B31" s="7" t="s">
        <v>28</v>
      </c>
      <c r="C31" s="62">
        <f t="shared" ref="C31:C36" si="11">1/24</f>
        <v>4.1666666666666664E-2</v>
      </c>
      <c r="D31" s="5">
        <f t="shared" si="2"/>
        <v>2.0408163265306118</v>
      </c>
      <c r="E31" s="5">
        <f t="shared" si="5"/>
        <v>0</v>
      </c>
      <c r="F31" s="6"/>
      <c r="G31" s="8">
        <v>46312</v>
      </c>
      <c r="H31" s="8">
        <v>46312</v>
      </c>
      <c r="I31" s="8"/>
      <c r="J31" s="9"/>
      <c r="K31" s="10">
        <f t="shared" si="10"/>
        <v>1.0833333333333333</v>
      </c>
      <c r="L31" s="10">
        <f t="shared" si="9"/>
        <v>1.125</v>
      </c>
      <c r="M31" s="77">
        <f t="shared" si="3"/>
        <v>4.1666666666666741E-2</v>
      </c>
      <c r="N31" s="10"/>
      <c r="O31" s="10"/>
      <c r="P31" s="77" t="str">
        <f t="shared" si="6"/>
        <v/>
      </c>
      <c r="Q31" s="11" t="str">
        <f t="shared" si="7"/>
        <v/>
      </c>
      <c r="R31" s="12" t="str">
        <f t="shared" si="1"/>
        <v>Not Started</v>
      </c>
      <c r="S31" s="33"/>
    </row>
    <row r="32" spans="1:22" ht="29.4" customHeight="1" x14ac:dyDescent="0.35">
      <c r="A32" s="2">
        <f t="shared" si="4"/>
        <v>14</v>
      </c>
      <c r="B32" s="7" t="s">
        <v>104</v>
      </c>
      <c r="C32" s="62">
        <f t="shared" si="11"/>
        <v>4.1666666666666664E-2</v>
      </c>
      <c r="D32" s="5">
        <f t="shared" si="2"/>
        <v>2.0408163265306118</v>
      </c>
      <c r="E32" s="5">
        <f t="shared" si="5"/>
        <v>0</v>
      </c>
      <c r="F32" s="6"/>
      <c r="G32" s="8">
        <v>46312</v>
      </c>
      <c r="H32" s="8">
        <v>46312</v>
      </c>
      <c r="I32" s="8"/>
      <c r="J32" s="9"/>
      <c r="K32" s="10">
        <f t="shared" si="10"/>
        <v>1.125</v>
      </c>
      <c r="L32" s="10">
        <f t="shared" si="9"/>
        <v>1.1666666666666667</v>
      </c>
      <c r="M32" s="77">
        <f t="shared" si="3"/>
        <v>4.1666666666666741E-2</v>
      </c>
      <c r="N32" s="10"/>
      <c r="O32" s="10"/>
      <c r="P32" s="77" t="str">
        <f t="shared" si="6"/>
        <v/>
      </c>
      <c r="Q32" s="11" t="str">
        <f t="shared" si="7"/>
        <v/>
      </c>
      <c r="R32" s="12" t="str">
        <f t="shared" si="1"/>
        <v>Not Started</v>
      </c>
      <c r="S32" s="33"/>
    </row>
    <row r="33" spans="1:19" ht="29.4" customHeight="1" x14ac:dyDescent="0.35">
      <c r="A33" s="2">
        <f t="shared" si="4"/>
        <v>15</v>
      </c>
      <c r="B33" s="7" t="s">
        <v>29</v>
      </c>
      <c r="C33" s="62">
        <f t="shared" si="11"/>
        <v>4.1666666666666664E-2</v>
      </c>
      <c r="D33" s="5">
        <f t="shared" si="2"/>
        <v>2.0408163265306118</v>
      </c>
      <c r="E33" s="5">
        <f t="shared" si="5"/>
        <v>0</v>
      </c>
      <c r="F33" s="6"/>
      <c r="G33" s="8">
        <v>46312</v>
      </c>
      <c r="H33" s="8">
        <v>46312</v>
      </c>
      <c r="I33" s="8"/>
      <c r="J33" s="9"/>
      <c r="K33" s="10">
        <f t="shared" si="10"/>
        <v>1.1666666666666667</v>
      </c>
      <c r="L33" s="10">
        <f t="shared" si="9"/>
        <v>1.2083333333333335</v>
      </c>
      <c r="M33" s="77">
        <f t="shared" si="3"/>
        <v>4.1666666666666741E-2</v>
      </c>
      <c r="N33" s="10"/>
      <c r="O33" s="10"/>
      <c r="P33" s="77" t="str">
        <f t="shared" si="6"/>
        <v/>
      </c>
      <c r="Q33" s="11" t="str">
        <f t="shared" si="7"/>
        <v/>
      </c>
      <c r="R33" s="12" t="str">
        <f t="shared" si="1"/>
        <v>Not Started</v>
      </c>
      <c r="S33" s="33"/>
    </row>
    <row r="34" spans="1:19" ht="29.4" customHeight="1" x14ac:dyDescent="0.35">
      <c r="A34" s="2">
        <f t="shared" si="4"/>
        <v>16</v>
      </c>
      <c r="B34" s="7" t="s">
        <v>105</v>
      </c>
      <c r="C34" s="62">
        <f t="shared" si="11"/>
        <v>4.1666666666666664E-2</v>
      </c>
      <c r="D34" s="5">
        <f t="shared" si="2"/>
        <v>2.0408163265306118</v>
      </c>
      <c r="E34" s="5">
        <f t="shared" si="5"/>
        <v>0</v>
      </c>
      <c r="F34" s="6"/>
      <c r="G34" s="8">
        <v>46312</v>
      </c>
      <c r="H34" s="8">
        <v>46312</v>
      </c>
      <c r="I34" s="8"/>
      <c r="J34" s="9"/>
      <c r="K34" s="10">
        <f t="shared" si="10"/>
        <v>1.2083333333333335</v>
      </c>
      <c r="L34" s="10">
        <f t="shared" si="9"/>
        <v>1.2500000000000002</v>
      </c>
      <c r="M34" s="77">
        <f t="shared" si="3"/>
        <v>4.1666666666666741E-2</v>
      </c>
      <c r="N34" s="10"/>
      <c r="O34" s="10"/>
      <c r="P34" s="77" t="str">
        <f t="shared" si="6"/>
        <v/>
      </c>
      <c r="Q34" s="11" t="str">
        <f t="shared" si="7"/>
        <v/>
      </c>
      <c r="R34" s="12" t="str">
        <f t="shared" si="1"/>
        <v>Not Started</v>
      </c>
      <c r="S34" s="33"/>
    </row>
    <row r="35" spans="1:19" ht="29.4" customHeight="1" x14ac:dyDescent="0.35">
      <c r="A35" s="2">
        <f t="shared" si="4"/>
        <v>17</v>
      </c>
      <c r="B35" s="7" t="s">
        <v>31</v>
      </c>
      <c r="C35" s="62">
        <f>1/24</f>
        <v>4.1666666666666664E-2</v>
      </c>
      <c r="D35" s="5">
        <f t="shared" si="2"/>
        <v>2.0408163265306118</v>
      </c>
      <c r="E35" s="5">
        <f t="shared" si="5"/>
        <v>0</v>
      </c>
      <c r="F35" s="6"/>
      <c r="G35" s="8">
        <v>46312</v>
      </c>
      <c r="H35" s="8">
        <v>46312</v>
      </c>
      <c r="I35" s="8"/>
      <c r="J35" s="9"/>
      <c r="K35" s="10">
        <f t="shared" si="10"/>
        <v>1.2500000000000002</v>
      </c>
      <c r="L35" s="10">
        <f t="shared" si="9"/>
        <v>1.291666666666667</v>
      </c>
      <c r="M35" s="77">
        <f t="shared" si="3"/>
        <v>4.1666666666666741E-2</v>
      </c>
      <c r="N35" s="10"/>
      <c r="O35" s="10"/>
      <c r="P35" s="77" t="str">
        <f t="shared" si="6"/>
        <v/>
      </c>
      <c r="Q35" s="11" t="str">
        <f t="shared" si="7"/>
        <v/>
      </c>
      <c r="R35" s="12" t="str">
        <f t="shared" si="1"/>
        <v>Not Started</v>
      </c>
      <c r="S35" s="33"/>
    </row>
    <row r="36" spans="1:19" ht="29.4" customHeight="1" x14ac:dyDescent="0.35">
      <c r="A36" s="2">
        <f t="shared" si="4"/>
        <v>18</v>
      </c>
      <c r="B36" s="7" t="s">
        <v>32</v>
      </c>
      <c r="C36" s="62">
        <f t="shared" si="11"/>
        <v>4.1666666666666664E-2</v>
      </c>
      <c r="D36" s="5">
        <f t="shared" si="2"/>
        <v>2.0408163265306118</v>
      </c>
      <c r="E36" s="5">
        <f t="shared" si="5"/>
        <v>0</v>
      </c>
      <c r="F36" s="6"/>
      <c r="G36" s="8">
        <v>46312</v>
      </c>
      <c r="H36" s="8">
        <v>46312</v>
      </c>
      <c r="I36" s="8"/>
      <c r="J36" s="9"/>
      <c r="K36" s="10">
        <f t="shared" si="10"/>
        <v>1.291666666666667</v>
      </c>
      <c r="L36" s="10">
        <f t="shared" si="9"/>
        <v>1.3333333333333337</v>
      </c>
      <c r="M36" s="77">
        <f t="shared" si="3"/>
        <v>4.1666666666666741E-2</v>
      </c>
      <c r="N36" s="10"/>
      <c r="O36" s="10"/>
      <c r="P36" s="77" t="str">
        <f t="shared" si="6"/>
        <v/>
      </c>
      <c r="Q36" s="11" t="str">
        <f t="shared" si="7"/>
        <v/>
      </c>
      <c r="R36" s="12" t="str">
        <f t="shared" si="1"/>
        <v>Not Started</v>
      </c>
      <c r="S36" s="33"/>
    </row>
    <row r="37" spans="1:19" ht="29.4" customHeight="1" x14ac:dyDescent="0.35">
      <c r="A37" s="24">
        <f>A36+1</f>
        <v>19</v>
      </c>
      <c r="B37" s="16" t="s">
        <v>106</v>
      </c>
      <c r="C37" s="102">
        <f>1/24</f>
        <v>4.1666666666666664E-2</v>
      </c>
      <c r="D37" s="17">
        <f t="shared" si="2"/>
        <v>2.0408163265306118</v>
      </c>
      <c r="E37" s="17">
        <f>D37*F37</f>
        <v>0</v>
      </c>
      <c r="F37" s="18"/>
      <c r="G37" s="19">
        <v>46312</v>
      </c>
      <c r="H37" s="19">
        <v>46312</v>
      </c>
      <c r="I37" s="19"/>
      <c r="J37" s="20"/>
      <c r="K37" s="21">
        <v>1.3333333333333337</v>
      </c>
      <c r="L37" s="21">
        <f t="shared" si="9"/>
        <v>1.3750000000000004</v>
      </c>
      <c r="M37" s="76">
        <f t="shared" si="3"/>
        <v>4.1666666666666741E-2</v>
      </c>
      <c r="N37" s="21"/>
      <c r="O37" s="21"/>
      <c r="P37" s="76" t="str">
        <f t="shared" si="6"/>
        <v/>
      </c>
      <c r="Q37" s="22" t="str">
        <f t="shared" si="7"/>
        <v/>
      </c>
      <c r="R37" s="23" t="str">
        <f t="shared" si="1"/>
        <v>Not Started</v>
      </c>
      <c r="S37" s="34" t="s">
        <v>90</v>
      </c>
    </row>
    <row r="38" spans="1:19" ht="29.4" customHeight="1" x14ac:dyDescent="0.35">
      <c r="A38" s="2">
        <v>20</v>
      </c>
      <c r="B38" s="7" t="s">
        <v>30</v>
      </c>
      <c r="C38" s="96">
        <v>8.3333333333333329E-2</v>
      </c>
      <c r="D38" s="5">
        <f t="shared" si="2"/>
        <v>4.0816326530612237</v>
      </c>
      <c r="E38" s="5">
        <f t="shared" si="5"/>
        <v>0</v>
      </c>
      <c r="F38" s="6"/>
      <c r="G38" s="8">
        <v>46312</v>
      </c>
      <c r="H38" s="8">
        <v>46312</v>
      </c>
      <c r="I38" s="8"/>
      <c r="J38" s="9"/>
      <c r="K38" s="10">
        <f>L37</f>
        <v>1.3750000000000004</v>
      </c>
      <c r="L38" s="10">
        <f>K38+C38</f>
        <v>1.4583333333333337</v>
      </c>
      <c r="M38" s="77">
        <f t="shared" si="3"/>
        <v>8.3333333333333259E-2</v>
      </c>
      <c r="N38" s="10"/>
      <c r="O38" s="10"/>
      <c r="P38" s="77" t="str">
        <f t="shared" si="6"/>
        <v/>
      </c>
      <c r="Q38" s="11" t="str">
        <f t="shared" si="7"/>
        <v/>
      </c>
      <c r="R38" s="12" t="str">
        <f t="shared" si="1"/>
        <v>Not Started</v>
      </c>
      <c r="S38" s="33"/>
    </row>
    <row r="39" spans="1:19" ht="29.4" customHeight="1" x14ac:dyDescent="0.35">
      <c r="A39" s="2">
        <f t="shared" ref="A39:A46" si="12">A38+1</f>
        <v>21</v>
      </c>
      <c r="B39" s="7" t="s">
        <v>109</v>
      </c>
      <c r="C39" s="96">
        <v>8.3333333333333329E-2</v>
      </c>
      <c r="D39" s="5">
        <f t="shared" si="2"/>
        <v>4.0816326530612237</v>
      </c>
      <c r="E39" s="5">
        <f t="shared" si="5"/>
        <v>0</v>
      </c>
      <c r="F39" s="6"/>
      <c r="G39" s="8">
        <v>46312</v>
      </c>
      <c r="H39" s="8">
        <v>46312</v>
      </c>
      <c r="I39" s="8"/>
      <c r="J39" s="9"/>
      <c r="K39" s="10">
        <f>L38</f>
        <v>1.4583333333333337</v>
      </c>
      <c r="L39" s="10">
        <f>K39+C39</f>
        <v>1.541666666666667</v>
      </c>
      <c r="M39" s="77">
        <f t="shared" si="3"/>
        <v>8.3333333333333259E-2</v>
      </c>
      <c r="N39" s="10"/>
      <c r="O39" s="10"/>
      <c r="P39" s="77" t="str">
        <f t="shared" si="6"/>
        <v/>
      </c>
      <c r="Q39" s="11" t="str">
        <f t="shared" si="7"/>
        <v/>
      </c>
      <c r="R39" s="12" t="str">
        <f t="shared" si="1"/>
        <v>Not Started</v>
      </c>
      <c r="S39" s="33"/>
    </row>
    <row r="40" spans="1:19" ht="29.4" customHeight="1" x14ac:dyDescent="0.35">
      <c r="A40" s="2">
        <f t="shared" si="12"/>
        <v>22</v>
      </c>
      <c r="B40" s="7" t="s">
        <v>107</v>
      </c>
      <c r="C40" s="62">
        <f>1/24</f>
        <v>4.1666666666666664E-2</v>
      </c>
      <c r="D40" s="5">
        <f t="shared" si="2"/>
        <v>2.0408163265306118</v>
      </c>
      <c r="E40" s="5">
        <f t="shared" si="5"/>
        <v>0</v>
      </c>
      <c r="F40" s="6"/>
      <c r="G40" s="8">
        <v>46312</v>
      </c>
      <c r="H40" s="8">
        <v>46312</v>
      </c>
      <c r="I40" s="8"/>
      <c r="J40" s="9"/>
      <c r="K40" s="10">
        <f>L39</f>
        <v>1.541666666666667</v>
      </c>
      <c r="L40" s="10">
        <f>K40+C40</f>
        <v>1.5833333333333337</v>
      </c>
      <c r="M40" s="77">
        <f t="shared" si="3"/>
        <v>4.1666666666666741E-2</v>
      </c>
      <c r="N40" s="10"/>
      <c r="O40" s="10"/>
      <c r="P40" s="77" t="str">
        <f t="shared" si="6"/>
        <v/>
      </c>
      <c r="Q40" s="11" t="str">
        <f t="shared" si="7"/>
        <v/>
      </c>
      <c r="R40" s="12" t="str">
        <f t="shared" si="1"/>
        <v>Not Started</v>
      </c>
      <c r="S40" s="61" t="s">
        <v>53</v>
      </c>
    </row>
    <row r="41" spans="1:19" ht="29.4" customHeight="1" x14ac:dyDescent="0.35">
      <c r="A41" s="2">
        <f t="shared" si="12"/>
        <v>23</v>
      </c>
      <c r="B41" s="7" t="s">
        <v>108</v>
      </c>
      <c r="C41" s="62">
        <f>1/24</f>
        <v>4.1666666666666664E-2</v>
      </c>
      <c r="D41" s="5">
        <f t="shared" si="2"/>
        <v>2.0408163265306118</v>
      </c>
      <c r="E41" s="5">
        <f t="shared" si="5"/>
        <v>0</v>
      </c>
      <c r="F41" s="6"/>
      <c r="G41" s="8">
        <v>46312</v>
      </c>
      <c r="H41" s="8">
        <v>46312</v>
      </c>
      <c r="I41" s="8"/>
      <c r="J41" s="9"/>
      <c r="K41" s="10">
        <f t="shared" si="10"/>
        <v>1.5833333333333337</v>
      </c>
      <c r="L41" s="10">
        <f t="shared" si="9"/>
        <v>1.6250000000000004</v>
      </c>
      <c r="M41" s="77">
        <f t="shared" si="3"/>
        <v>4.1666666666666741E-2</v>
      </c>
      <c r="N41" s="10"/>
      <c r="O41" s="10"/>
      <c r="P41" s="77" t="str">
        <f t="shared" si="6"/>
        <v/>
      </c>
      <c r="Q41" s="11" t="str">
        <f t="shared" si="7"/>
        <v/>
      </c>
      <c r="R41" s="12" t="str">
        <f t="shared" si="1"/>
        <v>Not Started</v>
      </c>
      <c r="S41" s="33"/>
    </row>
    <row r="42" spans="1:19" ht="29.4" customHeight="1" x14ac:dyDescent="0.35">
      <c r="A42" s="24">
        <f>A41+1</f>
        <v>24</v>
      </c>
      <c r="B42" s="16" t="s">
        <v>110</v>
      </c>
      <c r="C42" s="74">
        <f>2/24</f>
        <v>8.3333333333333329E-2</v>
      </c>
      <c r="D42" s="17"/>
      <c r="E42" s="17"/>
      <c r="F42" s="18"/>
      <c r="G42" s="19">
        <v>46312</v>
      </c>
      <c r="H42" s="19">
        <v>46312</v>
      </c>
      <c r="I42" s="19"/>
      <c r="J42" s="20"/>
      <c r="K42" s="21">
        <f>L41</f>
        <v>1.6250000000000004</v>
      </c>
      <c r="L42" s="21">
        <v>1.5833333333333337</v>
      </c>
      <c r="M42" s="76">
        <v>8.3333333333333259E-2</v>
      </c>
      <c r="N42" s="21"/>
      <c r="O42" s="21"/>
      <c r="P42" s="76" t="str">
        <f t="shared" si="6"/>
        <v/>
      </c>
      <c r="Q42" s="22" t="str">
        <f t="shared" si="7"/>
        <v/>
      </c>
      <c r="R42" s="23" t="str">
        <f t="shared" si="1"/>
        <v>Not Started</v>
      </c>
      <c r="S42" s="34" t="s">
        <v>90</v>
      </c>
    </row>
    <row r="43" spans="1:19" ht="29.4" customHeight="1" x14ac:dyDescent="0.35">
      <c r="A43" s="63">
        <f>A42+1</f>
        <v>25</v>
      </c>
      <c r="B43" s="64" t="s">
        <v>54</v>
      </c>
      <c r="C43" s="65"/>
      <c r="D43" s="66"/>
      <c r="E43" s="66"/>
      <c r="F43" s="67"/>
      <c r="G43" s="68">
        <v>46312</v>
      </c>
      <c r="H43" s="68">
        <v>46312</v>
      </c>
      <c r="I43" s="68"/>
      <c r="J43" s="69"/>
      <c r="K43" s="70"/>
      <c r="L43" s="70"/>
      <c r="M43" s="78"/>
      <c r="N43" s="70"/>
      <c r="O43" s="70"/>
      <c r="P43" s="78" t="str">
        <f t="shared" si="6"/>
        <v/>
      </c>
      <c r="Q43" s="71" t="str">
        <f t="shared" si="7"/>
        <v/>
      </c>
      <c r="R43" s="72" t="str">
        <f t="shared" si="1"/>
        <v>Not Started</v>
      </c>
      <c r="S43" s="73" t="s">
        <v>89</v>
      </c>
    </row>
    <row r="44" spans="1:19" ht="29.4" customHeight="1" x14ac:dyDescent="0.35">
      <c r="A44" s="2">
        <f>A43+1</f>
        <v>26</v>
      </c>
      <c r="B44" s="7" t="s">
        <v>111</v>
      </c>
      <c r="C44" s="62">
        <f>4/24</f>
        <v>0.16666666666666666</v>
      </c>
      <c r="D44" s="5">
        <f>(C44/$C$47)*100</f>
        <v>8.1632653061224474</v>
      </c>
      <c r="E44" s="5">
        <f t="shared" ref="E44" si="13">D44*F44</f>
        <v>0</v>
      </c>
      <c r="F44" s="6"/>
      <c r="G44" s="8">
        <v>46312</v>
      </c>
      <c r="H44" s="8">
        <v>46312</v>
      </c>
      <c r="I44" s="8"/>
      <c r="J44" s="9"/>
      <c r="K44" s="10">
        <f>L41</f>
        <v>1.6250000000000004</v>
      </c>
      <c r="L44" s="10">
        <f t="shared" ref="L44" si="14">K44+C44</f>
        <v>1.7916666666666672</v>
      </c>
      <c r="M44" s="77">
        <f t="shared" si="3"/>
        <v>0.16666666666666674</v>
      </c>
      <c r="N44" s="10"/>
      <c r="O44" s="10"/>
      <c r="P44" s="77" t="str">
        <f t="shared" si="6"/>
        <v/>
      </c>
      <c r="Q44" s="11" t="str">
        <f t="shared" si="7"/>
        <v/>
      </c>
      <c r="R44" s="12" t="str">
        <f t="shared" si="1"/>
        <v>Not Started</v>
      </c>
      <c r="S44" s="33"/>
    </row>
    <row r="45" spans="1:19" ht="29.4" customHeight="1" x14ac:dyDescent="0.35">
      <c r="A45" s="2">
        <f>A44+1</f>
        <v>27</v>
      </c>
      <c r="B45" s="7" t="s">
        <v>112</v>
      </c>
      <c r="C45" s="62">
        <f>4/24</f>
        <v>0.16666666666666666</v>
      </c>
      <c r="D45" s="5">
        <f>(C45/$C$47)*100</f>
        <v>8.1632653061224474</v>
      </c>
      <c r="E45" s="5">
        <f t="shared" si="5"/>
        <v>0</v>
      </c>
      <c r="F45" s="6"/>
      <c r="G45" s="8">
        <v>46312</v>
      </c>
      <c r="H45" s="8">
        <v>46312</v>
      </c>
      <c r="I45" s="8"/>
      <c r="J45" s="9"/>
      <c r="K45" s="10">
        <f>L44</f>
        <v>1.7916666666666672</v>
      </c>
      <c r="L45" s="10">
        <f t="shared" si="9"/>
        <v>1.9583333333333339</v>
      </c>
      <c r="M45" s="77">
        <f t="shared" si="3"/>
        <v>0.16666666666666674</v>
      </c>
      <c r="N45" s="10"/>
      <c r="O45" s="10"/>
      <c r="P45" s="77" t="str">
        <f t="shared" si="6"/>
        <v/>
      </c>
      <c r="Q45" s="11" t="str">
        <f t="shared" si="7"/>
        <v/>
      </c>
      <c r="R45" s="12" t="str">
        <f t="shared" si="1"/>
        <v>Not Started</v>
      </c>
      <c r="S45" s="33"/>
    </row>
    <row r="46" spans="1:19" ht="29.4" customHeight="1" x14ac:dyDescent="0.35">
      <c r="A46" s="2">
        <f t="shared" si="12"/>
        <v>28</v>
      </c>
      <c r="B46" s="7" t="s">
        <v>33</v>
      </c>
      <c r="C46" s="62">
        <f>1/24</f>
        <v>4.1666666666666664E-2</v>
      </c>
      <c r="D46" s="5">
        <f>(C46/$C$47)*100</f>
        <v>2.0408163265306118</v>
      </c>
      <c r="E46" s="5">
        <f t="shared" si="5"/>
        <v>0</v>
      </c>
      <c r="F46" s="6"/>
      <c r="G46" s="8">
        <v>46312</v>
      </c>
      <c r="H46" s="8">
        <v>46312</v>
      </c>
      <c r="I46" s="8"/>
      <c r="J46" s="9"/>
      <c r="K46" s="10">
        <f t="shared" si="10"/>
        <v>1.9583333333333339</v>
      </c>
      <c r="L46" s="10">
        <f t="shared" si="9"/>
        <v>2.0000000000000004</v>
      </c>
      <c r="M46" s="77">
        <f t="shared" si="3"/>
        <v>4.1666666666666519E-2</v>
      </c>
      <c r="N46" s="10"/>
      <c r="O46" s="10"/>
      <c r="P46" s="77" t="str">
        <f t="shared" si="6"/>
        <v/>
      </c>
      <c r="Q46" s="11" t="str">
        <f t="shared" si="7"/>
        <v/>
      </c>
      <c r="R46" s="12" t="str">
        <f t="shared" si="1"/>
        <v>Not Started</v>
      </c>
      <c r="S46" s="33"/>
    </row>
    <row r="47" spans="1:19" ht="19.5" hidden="1" customHeight="1" x14ac:dyDescent="0.35">
      <c r="A47" s="32"/>
      <c r="C47" s="62">
        <f>SUM(C20:C46)-C42</f>
        <v>2.041666666666667</v>
      </c>
      <c r="D47" s="13">
        <f>SUM(D20:D46)</f>
        <v>99.989183673469384</v>
      </c>
      <c r="E47" s="14">
        <f>SUM(E20:E46)/D47</f>
        <v>0</v>
      </c>
      <c r="F47" s="15" t="s">
        <v>34</v>
      </c>
      <c r="S47" s="31"/>
    </row>
    <row r="48" spans="1:19" ht="24.75" customHeight="1" x14ac:dyDescent="0.35">
      <c r="A48" s="116" t="s">
        <v>1</v>
      </c>
      <c r="B48" s="112" t="s">
        <v>2</v>
      </c>
      <c r="C48" s="118" t="s">
        <v>3</v>
      </c>
      <c r="D48" s="118" t="s">
        <v>4</v>
      </c>
      <c r="E48" s="118" t="s">
        <v>5</v>
      </c>
      <c r="F48" s="85"/>
      <c r="G48" s="120" t="s">
        <v>7</v>
      </c>
      <c r="H48" s="121"/>
      <c r="I48" s="105"/>
      <c r="J48" s="112" t="s">
        <v>8</v>
      </c>
      <c r="K48" s="120" t="s">
        <v>9</v>
      </c>
      <c r="L48" s="121"/>
      <c r="M48" s="112" t="s">
        <v>10</v>
      </c>
      <c r="N48" s="120" t="s">
        <v>11</v>
      </c>
      <c r="O48" s="121"/>
      <c r="P48" s="112" t="s">
        <v>12</v>
      </c>
      <c r="Q48" s="114" t="s">
        <v>35</v>
      </c>
      <c r="R48" s="112" t="s">
        <v>13</v>
      </c>
      <c r="S48" s="110" t="s">
        <v>14</v>
      </c>
    </row>
    <row r="49" spans="1:22" ht="66" customHeight="1" thickBot="1" x14ac:dyDescent="0.4">
      <c r="A49" s="117"/>
      <c r="B49" s="113"/>
      <c r="C49" s="119"/>
      <c r="D49" s="119"/>
      <c r="E49" s="119"/>
      <c r="F49" s="25" t="s">
        <v>6</v>
      </c>
      <c r="G49" s="26" t="s">
        <v>15</v>
      </c>
      <c r="H49" s="26" t="s">
        <v>16</v>
      </c>
      <c r="I49" s="104"/>
      <c r="J49" s="113"/>
      <c r="K49" s="26" t="s">
        <v>15</v>
      </c>
      <c r="L49" s="26" t="s">
        <v>16</v>
      </c>
      <c r="M49" s="113"/>
      <c r="N49" s="26" t="s">
        <v>15</v>
      </c>
      <c r="O49" s="26" t="s">
        <v>16</v>
      </c>
      <c r="P49" s="113"/>
      <c r="Q49" s="115"/>
      <c r="R49" s="113"/>
      <c r="S49" s="111"/>
    </row>
    <row r="50" spans="1:22" ht="15.5" hidden="1" thickTop="1" thickBot="1" x14ac:dyDescent="0.4">
      <c r="A50" s="32"/>
      <c r="S50" s="31"/>
      <c r="V50" s="15" t="s">
        <v>36</v>
      </c>
    </row>
    <row r="51" spans="1:22" ht="44.5" thickTop="1" x14ac:dyDescent="0.35">
      <c r="A51" s="136" t="s">
        <v>95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V51" s="28"/>
    </row>
    <row r="52" spans="1:22" ht="29.4" customHeight="1" x14ac:dyDescent="0.35">
      <c r="A52" s="2">
        <v>1</v>
      </c>
      <c r="B52" s="3" t="s">
        <v>17</v>
      </c>
      <c r="C52" s="103" t="s">
        <v>18</v>
      </c>
      <c r="D52" s="5"/>
      <c r="E52" s="5"/>
      <c r="F52" s="6"/>
      <c r="G52" s="48"/>
      <c r="H52" s="49"/>
      <c r="I52" s="49"/>
      <c r="J52" s="50"/>
      <c r="K52" s="51"/>
      <c r="L52" s="51"/>
      <c r="M52" s="75"/>
      <c r="N52" s="51"/>
      <c r="O52" s="51"/>
      <c r="P52" s="75"/>
      <c r="Q52" s="52"/>
      <c r="R52" s="53" t="str">
        <f>IF(B2=100%,"Completed",IF(B2=0,"Not Started","In Progress"))</f>
        <v>Not Started</v>
      </c>
      <c r="S52" s="54"/>
      <c r="V52" s="28" t="s">
        <v>38</v>
      </c>
    </row>
    <row r="53" spans="1:22" ht="29.4" customHeight="1" x14ac:dyDescent="0.35">
      <c r="A53" s="24">
        <v>2</v>
      </c>
      <c r="B53" s="16" t="s">
        <v>102</v>
      </c>
      <c r="C53" s="102">
        <v>4.1666666666666664E-2</v>
      </c>
      <c r="D53" s="17">
        <f t="shared" ref="D53:D78" si="15">(C53/$C$47)*100</f>
        <v>2.0408163265306118</v>
      </c>
      <c r="E53" s="17">
        <f t="shared" ref="E53:E79" si="16">D53*F53</f>
        <v>0</v>
      </c>
      <c r="F53" s="18"/>
      <c r="G53" s="55">
        <v>46311</v>
      </c>
      <c r="H53" s="56">
        <v>46311</v>
      </c>
      <c r="I53" s="56"/>
      <c r="J53" s="57"/>
      <c r="K53" s="58">
        <v>0</v>
      </c>
      <c r="L53" s="58">
        <v>4.1666666666666664E-2</v>
      </c>
      <c r="M53" s="76">
        <v>4.1666666666666664E-2</v>
      </c>
      <c r="N53" s="21"/>
      <c r="O53" s="21"/>
      <c r="P53" s="76" t="str">
        <f t="shared" ref="P53:P79" si="17">IF(OR(I53="",J53="",N53="",O53=""),"",((J53+O53)-(I53+N53)))</f>
        <v/>
      </c>
      <c r="Q53" s="59" t="str">
        <f t="shared" ref="Q53:Q79" si="18">IF(OR(H53="",J53="",L53="",O53=""),"",IF((J53+O53)&lt;(H53+L53),"Ahead",IF((J53+O53)=(H53+L53),"On-Time","Delayed")))</f>
        <v/>
      </c>
      <c r="R53" s="60" t="str">
        <f t="shared" ref="R53:R79" si="19">IF(F53=100%,"Completed",IF(F53=0,"Not Started","In Progress"))</f>
        <v>Not Started</v>
      </c>
      <c r="S53" s="34" t="s">
        <v>90</v>
      </c>
      <c r="V53" s="28"/>
    </row>
    <row r="54" spans="1:22" ht="29.4" customHeight="1" x14ac:dyDescent="0.35">
      <c r="A54" s="2">
        <f>A53+1</f>
        <v>3</v>
      </c>
      <c r="B54" s="7" t="s">
        <v>19</v>
      </c>
      <c r="C54" s="96">
        <f t="shared" ref="C54:C56" si="20">1/24</f>
        <v>4.1666666666666664E-2</v>
      </c>
      <c r="D54" s="5">
        <f t="shared" si="15"/>
        <v>2.0408163265306118</v>
      </c>
      <c r="E54" s="5">
        <f t="shared" si="16"/>
        <v>0</v>
      </c>
      <c r="F54" s="6"/>
      <c r="G54" s="8">
        <v>46311</v>
      </c>
      <c r="H54" s="8">
        <v>46311</v>
      </c>
      <c r="I54" s="8"/>
      <c r="J54" s="9"/>
      <c r="K54" s="10">
        <v>4.1666666666666664E-2</v>
      </c>
      <c r="L54" s="10">
        <v>8.3333333333333329E-2</v>
      </c>
      <c r="M54" s="77">
        <v>4.1666666666666664E-2</v>
      </c>
      <c r="N54" s="10"/>
      <c r="O54" s="10"/>
      <c r="P54" s="77" t="str">
        <f t="shared" si="17"/>
        <v/>
      </c>
      <c r="Q54" s="11" t="str">
        <f t="shared" si="18"/>
        <v/>
      </c>
      <c r="R54" s="12" t="str">
        <f t="shared" si="19"/>
        <v>Not Started</v>
      </c>
      <c r="S54" s="61" t="s">
        <v>53</v>
      </c>
      <c r="V54" s="28" t="s">
        <v>39</v>
      </c>
    </row>
    <row r="55" spans="1:22" ht="29.4" customHeight="1" x14ac:dyDescent="0.35">
      <c r="A55" s="2">
        <f t="shared" ref="A55:A69" si="21">A54+1</f>
        <v>4</v>
      </c>
      <c r="B55" s="7" t="s">
        <v>103</v>
      </c>
      <c r="C55" s="96">
        <v>4.1666666666666664E-2</v>
      </c>
      <c r="D55" s="5">
        <f>(C55/$C$47)*100</f>
        <v>2.0408163265306118</v>
      </c>
      <c r="E55" s="5">
        <f t="shared" si="16"/>
        <v>0</v>
      </c>
      <c r="F55" s="6"/>
      <c r="G55" s="8">
        <v>46311</v>
      </c>
      <c r="H55" s="8">
        <v>46311</v>
      </c>
      <c r="I55" s="8"/>
      <c r="J55" s="9"/>
      <c r="K55" s="10">
        <v>0</v>
      </c>
      <c r="L55" s="10">
        <v>4.1666666666666664E-2</v>
      </c>
      <c r="M55" s="77">
        <v>4.1666666666666664E-2</v>
      </c>
      <c r="N55" s="10"/>
      <c r="O55" s="10"/>
      <c r="P55" s="77" t="str">
        <f t="shared" si="17"/>
        <v/>
      </c>
      <c r="Q55" s="11" t="str">
        <f t="shared" si="18"/>
        <v/>
      </c>
      <c r="R55" s="12" t="str">
        <f t="shared" si="19"/>
        <v>Not Started</v>
      </c>
      <c r="S55" s="33"/>
      <c r="V55" s="28"/>
    </row>
    <row r="56" spans="1:22" ht="29.4" customHeight="1" x14ac:dyDescent="0.35">
      <c r="A56" s="2">
        <f t="shared" si="21"/>
        <v>5</v>
      </c>
      <c r="B56" s="7" t="s">
        <v>21</v>
      </c>
      <c r="C56" s="96">
        <f t="shared" si="20"/>
        <v>4.1666666666666664E-2</v>
      </c>
      <c r="D56" s="5">
        <f t="shared" si="15"/>
        <v>2.0408163265306118</v>
      </c>
      <c r="E56" s="5">
        <f t="shared" si="16"/>
        <v>0</v>
      </c>
      <c r="F56" s="6"/>
      <c r="G56" s="8">
        <v>46311</v>
      </c>
      <c r="H56" s="8">
        <v>46311</v>
      </c>
      <c r="I56" s="8"/>
      <c r="J56" s="9"/>
      <c r="K56" s="10">
        <v>8.3333333333333329E-2</v>
      </c>
      <c r="L56" s="10">
        <v>0.125</v>
      </c>
      <c r="M56" s="77">
        <v>4.1666666666666671E-2</v>
      </c>
      <c r="N56" s="10"/>
      <c r="O56" s="10"/>
      <c r="P56" s="77" t="str">
        <f t="shared" si="17"/>
        <v/>
      </c>
      <c r="Q56" s="11" t="str">
        <f t="shared" si="18"/>
        <v/>
      </c>
      <c r="R56" s="12" t="str">
        <f t="shared" si="19"/>
        <v>Not Started</v>
      </c>
      <c r="S56" s="33"/>
      <c r="V56" s="28" t="s">
        <v>40</v>
      </c>
    </row>
    <row r="57" spans="1:22" ht="29.4" customHeight="1" x14ac:dyDescent="0.35">
      <c r="A57" s="2">
        <f t="shared" si="21"/>
        <v>6</v>
      </c>
      <c r="B57" s="7" t="s">
        <v>22</v>
      </c>
      <c r="C57" s="62">
        <f>2/24</f>
        <v>8.3333333333333329E-2</v>
      </c>
      <c r="D57" s="5">
        <f>(C57/$C$47)*100</f>
        <v>4.0816326530612237</v>
      </c>
      <c r="E57" s="5">
        <f t="shared" si="16"/>
        <v>0</v>
      </c>
      <c r="F57" s="6"/>
      <c r="G57" s="8">
        <v>46311</v>
      </c>
      <c r="H57" s="8">
        <v>46311</v>
      </c>
      <c r="I57" s="8"/>
      <c r="J57" s="9"/>
      <c r="K57" s="10">
        <v>0.125</v>
      </c>
      <c r="L57" s="10">
        <v>0.25</v>
      </c>
      <c r="M57" s="77">
        <v>0.125</v>
      </c>
      <c r="N57" s="10"/>
      <c r="O57" s="10"/>
      <c r="P57" s="77" t="str">
        <f t="shared" si="17"/>
        <v/>
      </c>
      <c r="Q57" s="11" t="str">
        <f t="shared" si="18"/>
        <v/>
      </c>
      <c r="R57" s="12" t="str">
        <f t="shared" si="19"/>
        <v>Not Started</v>
      </c>
      <c r="S57" s="33"/>
    </row>
    <row r="58" spans="1:22" ht="29.4" customHeight="1" x14ac:dyDescent="0.35">
      <c r="A58" s="2">
        <f t="shared" si="21"/>
        <v>7</v>
      </c>
      <c r="B58" s="7" t="s">
        <v>23</v>
      </c>
      <c r="C58" s="62">
        <f>2/24</f>
        <v>8.3333333333333329E-2</v>
      </c>
      <c r="D58" s="5">
        <f t="shared" si="15"/>
        <v>4.0816326530612237</v>
      </c>
      <c r="E58" s="5">
        <f t="shared" si="16"/>
        <v>0</v>
      </c>
      <c r="F58" s="6"/>
      <c r="G58" s="8">
        <v>46311</v>
      </c>
      <c r="H58" s="8">
        <v>46311</v>
      </c>
      <c r="I58" s="8"/>
      <c r="J58" s="9"/>
      <c r="K58" s="10">
        <v>0.25</v>
      </c>
      <c r="L58" s="10">
        <v>0.41666666666666663</v>
      </c>
      <c r="M58" s="77">
        <v>0.16666666666666663</v>
      </c>
      <c r="N58" s="10"/>
      <c r="O58" s="10"/>
      <c r="P58" s="77" t="str">
        <f t="shared" si="17"/>
        <v/>
      </c>
      <c r="Q58" s="11" t="str">
        <f t="shared" si="18"/>
        <v/>
      </c>
      <c r="R58" s="12" t="str">
        <f t="shared" si="19"/>
        <v>Not Started</v>
      </c>
      <c r="S58" s="33"/>
    </row>
    <row r="59" spans="1:22" ht="29.4" customHeight="1" x14ac:dyDescent="0.35">
      <c r="A59" s="2">
        <f t="shared" si="21"/>
        <v>8</v>
      </c>
      <c r="B59" s="7" t="s">
        <v>24</v>
      </c>
      <c r="C59" s="62">
        <f>2/24</f>
        <v>8.3333333333333329E-2</v>
      </c>
      <c r="D59" s="5">
        <f t="shared" si="15"/>
        <v>4.0816326530612237</v>
      </c>
      <c r="E59" s="5">
        <f t="shared" si="16"/>
        <v>0</v>
      </c>
      <c r="F59" s="6"/>
      <c r="G59" s="8">
        <v>46311</v>
      </c>
      <c r="H59" s="8">
        <v>46311</v>
      </c>
      <c r="I59" s="8"/>
      <c r="J59" s="9"/>
      <c r="K59" s="10">
        <f t="shared" ref="K59:K69" si="22">L58</f>
        <v>0.41666666666666663</v>
      </c>
      <c r="L59" s="10">
        <f t="shared" ref="L59:L72" si="23">K59+C59</f>
        <v>0.49999999999999994</v>
      </c>
      <c r="M59" s="77">
        <f t="shared" ref="M59:M79" si="24">L59-K59</f>
        <v>8.3333333333333315E-2</v>
      </c>
      <c r="N59" s="10"/>
      <c r="O59" s="10"/>
      <c r="P59" s="77" t="str">
        <f t="shared" si="17"/>
        <v/>
      </c>
      <c r="Q59" s="11" t="str">
        <f t="shared" si="18"/>
        <v/>
      </c>
      <c r="R59" s="12" t="str">
        <f t="shared" si="19"/>
        <v>Not Started</v>
      </c>
      <c r="S59" s="33"/>
    </row>
    <row r="60" spans="1:22" ht="29.4" customHeight="1" x14ac:dyDescent="0.35">
      <c r="A60" s="2">
        <f t="shared" si="21"/>
        <v>9</v>
      </c>
      <c r="B60" s="7" t="s">
        <v>25</v>
      </c>
      <c r="C60" s="62">
        <f>3/24</f>
        <v>0.125</v>
      </c>
      <c r="D60" s="5">
        <f t="shared" si="15"/>
        <v>6.1224489795918355</v>
      </c>
      <c r="E60" s="5">
        <f t="shared" si="16"/>
        <v>0</v>
      </c>
      <c r="F60" s="6"/>
      <c r="G60" s="8">
        <v>46311</v>
      </c>
      <c r="H60" s="8">
        <v>46311</v>
      </c>
      <c r="I60" s="8"/>
      <c r="J60" s="9"/>
      <c r="K60" s="10">
        <f t="shared" si="22"/>
        <v>0.49999999999999994</v>
      </c>
      <c r="L60" s="10">
        <f t="shared" si="23"/>
        <v>0.625</v>
      </c>
      <c r="M60" s="77">
        <f t="shared" si="24"/>
        <v>0.12500000000000006</v>
      </c>
      <c r="N60" s="10"/>
      <c r="O60" s="10"/>
      <c r="P60" s="77" t="str">
        <f t="shared" si="17"/>
        <v/>
      </c>
      <c r="Q60" s="11" t="str">
        <f t="shared" si="18"/>
        <v/>
      </c>
      <c r="R60" s="12" t="str">
        <f t="shared" si="19"/>
        <v>Not Started</v>
      </c>
      <c r="S60" s="33"/>
    </row>
    <row r="61" spans="1:22" ht="29.4" customHeight="1" x14ac:dyDescent="0.35">
      <c r="A61" s="2">
        <f t="shared" si="21"/>
        <v>10</v>
      </c>
      <c r="B61" s="7" t="s">
        <v>26</v>
      </c>
      <c r="C61" s="62">
        <f>1/24</f>
        <v>4.1666666666666664E-2</v>
      </c>
      <c r="D61" s="5">
        <f>(C61/$C$47)*100</f>
        <v>2.0408163265306118</v>
      </c>
      <c r="E61" s="5">
        <f t="shared" si="16"/>
        <v>0</v>
      </c>
      <c r="F61" s="6"/>
      <c r="G61" s="8">
        <v>46311</v>
      </c>
      <c r="H61" s="8">
        <v>46311</v>
      </c>
      <c r="I61" s="8"/>
      <c r="J61" s="9"/>
      <c r="K61" s="10">
        <f t="shared" si="22"/>
        <v>0.625</v>
      </c>
      <c r="L61" s="10">
        <f t="shared" si="23"/>
        <v>0.66666666666666663</v>
      </c>
      <c r="M61" s="77">
        <f t="shared" si="24"/>
        <v>4.166666666666663E-2</v>
      </c>
      <c r="N61" s="10"/>
      <c r="O61" s="10"/>
      <c r="P61" s="77" t="str">
        <f t="shared" si="17"/>
        <v/>
      </c>
      <c r="Q61" s="11" t="str">
        <f t="shared" si="18"/>
        <v/>
      </c>
      <c r="R61" s="12" t="str">
        <f t="shared" si="19"/>
        <v>Not Started</v>
      </c>
      <c r="S61" s="33"/>
    </row>
    <row r="62" spans="1:22" ht="29.4" customHeight="1" x14ac:dyDescent="0.35">
      <c r="A62" s="2">
        <f t="shared" si="21"/>
        <v>11</v>
      </c>
      <c r="B62" s="7" t="s">
        <v>27</v>
      </c>
      <c r="C62" s="62">
        <f>3/24</f>
        <v>0.125</v>
      </c>
      <c r="D62" s="5">
        <f t="shared" si="15"/>
        <v>6.1224489795918355</v>
      </c>
      <c r="E62" s="5">
        <f t="shared" si="16"/>
        <v>0</v>
      </c>
      <c r="F62" s="6"/>
      <c r="G62" s="8">
        <v>46311</v>
      </c>
      <c r="H62" s="8">
        <v>46311</v>
      </c>
      <c r="I62" s="8"/>
      <c r="J62" s="9"/>
      <c r="K62" s="10">
        <f t="shared" si="22"/>
        <v>0.66666666666666663</v>
      </c>
      <c r="L62" s="10">
        <f t="shared" si="23"/>
        <v>0.79166666666666663</v>
      </c>
      <c r="M62" s="77">
        <f t="shared" si="24"/>
        <v>0.125</v>
      </c>
      <c r="N62" s="10"/>
      <c r="O62" s="10"/>
      <c r="P62" s="77" t="str">
        <f t="shared" si="17"/>
        <v/>
      </c>
      <c r="Q62" s="11" t="str">
        <f t="shared" si="18"/>
        <v/>
      </c>
      <c r="R62" s="12" t="str">
        <f t="shared" si="19"/>
        <v>Not Started</v>
      </c>
      <c r="S62" s="33"/>
    </row>
    <row r="63" spans="1:22" ht="29.4" customHeight="1" x14ac:dyDescent="0.35">
      <c r="A63" s="2">
        <f t="shared" si="21"/>
        <v>12</v>
      </c>
      <c r="B63" s="7" t="s">
        <v>55</v>
      </c>
      <c r="C63" s="62">
        <f>1/24</f>
        <v>4.1666666666666664E-2</v>
      </c>
      <c r="D63" s="5">
        <f t="shared" si="15"/>
        <v>2.0408163265306118</v>
      </c>
      <c r="E63" s="5">
        <f t="shared" si="16"/>
        <v>0</v>
      </c>
      <c r="F63" s="6"/>
      <c r="G63" s="8">
        <v>46311</v>
      </c>
      <c r="H63" s="8">
        <v>46311</v>
      </c>
      <c r="I63" s="8"/>
      <c r="J63" s="9"/>
      <c r="K63" s="10">
        <f t="shared" si="22"/>
        <v>0.79166666666666663</v>
      </c>
      <c r="L63" s="10">
        <f t="shared" si="23"/>
        <v>0.83333333333333326</v>
      </c>
      <c r="M63" s="77">
        <f t="shared" si="24"/>
        <v>4.166666666666663E-2</v>
      </c>
      <c r="N63" s="10"/>
      <c r="O63" s="10"/>
      <c r="P63" s="77" t="str">
        <f t="shared" si="17"/>
        <v/>
      </c>
      <c r="Q63" s="11" t="str">
        <f t="shared" si="18"/>
        <v/>
      </c>
      <c r="R63" s="12" t="str">
        <f t="shared" si="19"/>
        <v>Not Started</v>
      </c>
      <c r="S63" s="33"/>
    </row>
    <row r="64" spans="1:22" ht="29.4" customHeight="1" x14ac:dyDescent="0.35">
      <c r="A64" s="2">
        <f t="shared" si="21"/>
        <v>13</v>
      </c>
      <c r="B64" s="7" t="s">
        <v>28</v>
      </c>
      <c r="C64" s="62">
        <f t="shared" ref="C64:C70" si="25">1/24</f>
        <v>4.1666666666666664E-2</v>
      </c>
      <c r="D64" s="5">
        <f t="shared" si="15"/>
        <v>2.0408163265306118</v>
      </c>
      <c r="E64" s="5">
        <f t="shared" si="16"/>
        <v>0</v>
      </c>
      <c r="F64" s="6"/>
      <c r="G64" s="8">
        <v>46311</v>
      </c>
      <c r="H64" s="8">
        <v>46311</v>
      </c>
      <c r="I64" s="8"/>
      <c r="J64" s="9"/>
      <c r="K64" s="10">
        <f t="shared" si="22"/>
        <v>0.83333333333333326</v>
      </c>
      <c r="L64" s="10">
        <f t="shared" si="23"/>
        <v>0.87499999999999989</v>
      </c>
      <c r="M64" s="77">
        <f t="shared" si="24"/>
        <v>4.166666666666663E-2</v>
      </c>
      <c r="N64" s="10"/>
      <c r="O64" s="10"/>
      <c r="P64" s="77" t="str">
        <f t="shared" si="17"/>
        <v/>
      </c>
      <c r="Q64" s="11" t="str">
        <f t="shared" si="18"/>
        <v/>
      </c>
      <c r="R64" s="12" t="str">
        <f t="shared" si="19"/>
        <v>Not Started</v>
      </c>
      <c r="S64" s="33"/>
    </row>
    <row r="65" spans="1:19" ht="29.4" customHeight="1" x14ac:dyDescent="0.35">
      <c r="A65" s="2">
        <f t="shared" si="21"/>
        <v>14</v>
      </c>
      <c r="B65" s="7" t="s">
        <v>104</v>
      </c>
      <c r="C65" s="62">
        <f t="shared" si="25"/>
        <v>4.1666666666666664E-2</v>
      </c>
      <c r="D65" s="5">
        <f t="shared" si="15"/>
        <v>2.0408163265306118</v>
      </c>
      <c r="E65" s="5">
        <f t="shared" si="16"/>
        <v>0</v>
      </c>
      <c r="F65" s="6"/>
      <c r="G65" s="8">
        <v>46311</v>
      </c>
      <c r="H65" s="8">
        <v>46311</v>
      </c>
      <c r="I65" s="8"/>
      <c r="J65" s="9"/>
      <c r="K65" s="10">
        <f t="shared" si="22"/>
        <v>0.87499999999999989</v>
      </c>
      <c r="L65" s="10">
        <f t="shared" si="23"/>
        <v>0.91666666666666652</v>
      </c>
      <c r="M65" s="77">
        <f t="shared" si="24"/>
        <v>4.166666666666663E-2</v>
      </c>
      <c r="N65" s="10"/>
      <c r="O65" s="10"/>
      <c r="P65" s="77" t="str">
        <f t="shared" si="17"/>
        <v/>
      </c>
      <c r="Q65" s="11" t="str">
        <f t="shared" si="18"/>
        <v/>
      </c>
      <c r="R65" s="12" t="str">
        <f t="shared" si="19"/>
        <v>Not Started</v>
      </c>
      <c r="S65" s="33"/>
    </row>
    <row r="66" spans="1:19" ht="29.4" customHeight="1" x14ac:dyDescent="0.35">
      <c r="A66" s="2">
        <f t="shared" si="21"/>
        <v>15</v>
      </c>
      <c r="B66" s="7" t="s">
        <v>29</v>
      </c>
      <c r="C66" s="62">
        <f t="shared" si="25"/>
        <v>4.1666666666666664E-2</v>
      </c>
      <c r="D66" s="5">
        <f t="shared" si="15"/>
        <v>2.0408163265306118</v>
      </c>
      <c r="E66" s="5">
        <f t="shared" si="16"/>
        <v>0</v>
      </c>
      <c r="F66" s="6"/>
      <c r="G66" s="8">
        <v>46311</v>
      </c>
      <c r="H66" s="8">
        <v>46311</v>
      </c>
      <c r="I66" s="8"/>
      <c r="J66" s="9"/>
      <c r="K66" s="10">
        <f t="shared" si="22"/>
        <v>0.91666666666666652</v>
      </c>
      <c r="L66" s="10">
        <f t="shared" si="23"/>
        <v>0.95833333333333315</v>
      </c>
      <c r="M66" s="77">
        <f t="shared" si="24"/>
        <v>4.166666666666663E-2</v>
      </c>
      <c r="N66" s="10"/>
      <c r="O66" s="10"/>
      <c r="P66" s="77" t="str">
        <f t="shared" si="17"/>
        <v/>
      </c>
      <c r="Q66" s="11" t="str">
        <f t="shared" si="18"/>
        <v/>
      </c>
      <c r="R66" s="12" t="str">
        <f t="shared" si="19"/>
        <v>Not Started</v>
      </c>
      <c r="S66" s="33"/>
    </row>
    <row r="67" spans="1:19" ht="29.4" customHeight="1" x14ac:dyDescent="0.35">
      <c r="A67" s="2">
        <f t="shared" si="21"/>
        <v>16</v>
      </c>
      <c r="B67" s="7" t="s">
        <v>105</v>
      </c>
      <c r="C67" s="62">
        <f t="shared" si="25"/>
        <v>4.1666666666666664E-2</v>
      </c>
      <c r="D67" s="5">
        <f t="shared" si="15"/>
        <v>2.0408163265306118</v>
      </c>
      <c r="E67" s="5">
        <f t="shared" si="16"/>
        <v>0</v>
      </c>
      <c r="F67" s="6"/>
      <c r="G67" s="8">
        <v>46311</v>
      </c>
      <c r="H67" s="8">
        <v>46311</v>
      </c>
      <c r="I67" s="8"/>
      <c r="J67" s="9"/>
      <c r="K67" s="10">
        <f t="shared" si="22"/>
        <v>0.95833333333333315</v>
      </c>
      <c r="L67" s="10">
        <f t="shared" si="23"/>
        <v>0.99999999999999978</v>
      </c>
      <c r="M67" s="77">
        <f t="shared" si="24"/>
        <v>4.166666666666663E-2</v>
      </c>
      <c r="N67" s="10"/>
      <c r="O67" s="10"/>
      <c r="P67" s="77" t="str">
        <f t="shared" si="17"/>
        <v/>
      </c>
      <c r="Q67" s="11" t="str">
        <f t="shared" si="18"/>
        <v/>
      </c>
      <c r="R67" s="12" t="str">
        <f t="shared" si="19"/>
        <v>Not Started</v>
      </c>
      <c r="S67" s="33"/>
    </row>
    <row r="68" spans="1:19" ht="29.4" customHeight="1" x14ac:dyDescent="0.35">
      <c r="A68" s="2">
        <f t="shared" si="21"/>
        <v>17</v>
      </c>
      <c r="B68" s="7" t="s">
        <v>31</v>
      </c>
      <c r="C68" s="62">
        <f t="shared" si="25"/>
        <v>4.1666666666666664E-2</v>
      </c>
      <c r="D68" s="5">
        <f t="shared" si="15"/>
        <v>2.0408163265306118</v>
      </c>
      <c r="E68" s="5">
        <f t="shared" si="16"/>
        <v>0</v>
      </c>
      <c r="F68" s="6"/>
      <c r="G68" s="8">
        <v>46312</v>
      </c>
      <c r="H68" s="8">
        <v>46312</v>
      </c>
      <c r="I68" s="8"/>
      <c r="J68" s="9"/>
      <c r="K68" s="10">
        <v>8.3333333333333329E-2</v>
      </c>
      <c r="L68" s="10">
        <f t="shared" si="23"/>
        <v>0.125</v>
      </c>
      <c r="M68" s="77">
        <f t="shared" si="24"/>
        <v>4.1666666666666671E-2</v>
      </c>
      <c r="N68" s="10"/>
      <c r="O68" s="10"/>
      <c r="P68" s="77" t="str">
        <f t="shared" si="17"/>
        <v/>
      </c>
      <c r="Q68" s="11" t="str">
        <f t="shared" si="18"/>
        <v/>
      </c>
      <c r="R68" s="12" t="str">
        <f t="shared" si="19"/>
        <v>Not Started</v>
      </c>
      <c r="S68" s="33"/>
    </row>
    <row r="69" spans="1:19" ht="29.4" customHeight="1" x14ac:dyDescent="0.35">
      <c r="A69" s="2">
        <f t="shared" si="21"/>
        <v>18</v>
      </c>
      <c r="B69" s="7" t="s">
        <v>32</v>
      </c>
      <c r="C69" s="62">
        <f t="shared" si="25"/>
        <v>4.1666666666666664E-2</v>
      </c>
      <c r="D69" s="5">
        <f t="shared" si="15"/>
        <v>2.0408163265306118</v>
      </c>
      <c r="E69" s="5">
        <f t="shared" si="16"/>
        <v>0</v>
      </c>
      <c r="F69" s="6"/>
      <c r="G69" s="8">
        <v>46312</v>
      </c>
      <c r="H69" s="8">
        <v>46312</v>
      </c>
      <c r="I69" s="8"/>
      <c r="J69" s="9"/>
      <c r="K69" s="10">
        <f t="shared" si="22"/>
        <v>0.125</v>
      </c>
      <c r="L69" s="10">
        <f t="shared" si="23"/>
        <v>0.16666666666666666</v>
      </c>
      <c r="M69" s="77">
        <f t="shared" si="24"/>
        <v>4.1666666666666657E-2</v>
      </c>
      <c r="N69" s="10"/>
      <c r="O69" s="10"/>
      <c r="P69" s="77" t="str">
        <f t="shared" si="17"/>
        <v/>
      </c>
      <c r="Q69" s="11" t="str">
        <f t="shared" si="18"/>
        <v/>
      </c>
      <c r="R69" s="12" t="str">
        <f t="shared" si="19"/>
        <v>Not Started</v>
      </c>
      <c r="S69" s="33"/>
    </row>
    <row r="70" spans="1:19" ht="29.4" customHeight="1" x14ac:dyDescent="0.35">
      <c r="A70" s="24">
        <v>19</v>
      </c>
      <c r="B70" s="16" t="s">
        <v>106</v>
      </c>
      <c r="C70" s="102">
        <f t="shared" si="25"/>
        <v>4.1666666666666664E-2</v>
      </c>
      <c r="D70" s="17">
        <f t="shared" si="15"/>
        <v>2.0408163265306118</v>
      </c>
      <c r="E70" s="17">
        <f t="shared" si="16"/>
        <v>0</v>
      </c>
      <c r="F70" s="18"/>
      <c r="G70" s="19">
        <v>46312</v>
      </c>
      <c r="H70" s="19">
        <v>46312</v>
      </c>
      <c r="I70" s="19"/>
      <c r="J70" s="20"/>
      <c r="K70" s="21">
        <v>1.3333333333333337</v>
      </c>
      <c r="L70" s="21">
        <v>1.3750000000000004</v>
      </c>
      <c r="M70" s="76">
        <f t="shared" si="24"/>
        <v>4.1666666666666741E-2</v>
      </c>
      <c r="N70" s="21"/>
      <c r="O70" s="21"/>
      <c r="P70" s="76" t="str">
        <f t="shared" si="17"/>
        <v/>
      </c>
      <c r="Q70" s="22" t="str">
        <f t="shared" si="18"/>
        <v/>
      </c>
      <c r="R70" s="23" t="str">
        <f t="shared" si="19"/>
        <v>Not Started</v>
      </c>
      <c r="S70" s="34" t="s">
        <v>90</v>
      </c>
    </row>
    <row r="71" spans="1:19" ht="29.4" customHeight="1" x14ac:dyDescent="0.35">
      <c r="A71" s="2">
        <f>A70+1</f>
        <v>20</v>
      </c>
      <c r="B71" s="7" t="s">
        <v>30</v>
      </c>
      <c r="C71" s="96">
        <v>8.3333333333333329E-2</v>
      </c>
      <c r="D71" s="5">
        <f t="shared" si="15"/>
        <v>4.0816326530612237</v>
      </c>
      <c r="E71" s="5">
        <f t="shared" si="16"/>
        <v>0</v>
      </c>
      <c r="F71" s="6"/>
      <c r="G71" s="8">
        <v>46312</v>
      </c>
      <c r="H71" s="8">
        <v>46312</v>
      </c>
      <c r="I71" s="8"/>
      <c r="J71" s="9"/>
      <c r="K71" s="10">
        <f>L67</f>
        <v>0.99999999999999978</v>
      </c>
      <c r="L71" s="10">
        <f t="shared" si="23"/>
        <v>1.083333333333333</v>
      </c>
      <c r="M71" s="77">
        <f t="shared" si="24"/>
        <v>8.3333333333333259E-2</v>
      </c>
      <c r="N71" s="10"/>
      <c r="O71" s="10"/>
      <c r="P71" s="77" t="str">
        <f t="shared" si="17"/>
        <v/>
      </c>
      <c r="Q71" s="11" t="str">
        <f t="shared" si="18"/>
        <v/>
      </c>
      <c r="R71" s="12" t="str">
        <f t="shared" si="19"/>
        <v>Not Started</v>
      </c>
      <c r="S71" s="33"/>
    </row>
    <row r="72" spans="1:19" ht="29.4" customHeight="1" x14ac:dyDescent="0.35">
      <c r="A72" s="2">
        <f t="shared" ref="A72:A79" si="26">A71+1</f>
        <v>21</v>
      </c>
      <c r="B72" s="7" t="s">
        <v>109</v>
      </c>
      <c r="C72" s="96">
        <v>8.3333333333333329E-2</v>
      </c>
      <c r="D72" s="5">
        <f t="shared" si="15"/>
        <v>4.0816326530612237</v>
      </c>
      <c r="E72" s="5">
        <f t="shared" si="16"/>
        <v>0</v>
      </c>
      <c r="F72" s="6"/>
      <c r="G72" s="8">
        <v>46312</v>
      </c>
      <c r="H72" s="8">
        <v>46312</v>
      </c>
      <c r="I72" s="8"/>
      <c r="J72" s="9"/>
      <c r="K72" s="10">
        <f>L70</f>
        <v>1.3750000000000004</v>
      </c>
      <c r="L72" s="10">
        <f t="shared" si="23"/>
        <v>1.4583333333333337</v>
      </c>
      <c r="M72" s="77">
        <f t="shared" si="24"/>
        <v>8.3333333333333259E-2</v>
      </c>
      <c r="N72" s="10"/>
      <c r="O72" s="10"/>
      <c r="P72" s="77" t="str">
        <f t="shared" si="17"/>
        <v/>
      </c>
      <c r="Q72" s="11" t="str">
        <f t="shared" si="18"/>
        <v/>
      </c>
      <c r="R72" s="12" t="str">
        <f t="shared" si="19"/>
        <v>Not Started</v>
      </c>
      <c r="S72" s="33"/>
    </row>
    <row r="73" spans="1:19" ht="29.4" customHeight="1" x14ac:dyDescent="0.35">
      <c r="A73" s="2">
        <f t="shared" si="26"/>
        <v>22</v>
      </c>
      <c r="B73" s="7" t="s">
        <v>31</v>
      </c>
      <c r="C73" s="62">
        <f>1/24</f>
        <v>4.1666666666666664E-2</v>
      </c>
      <c r="D73" s="5">
        <f t="shared" si="15"/>
        <v>2.0408163265306118</v>
      </c>
      <c r="E73" s="5">
        <f t="shared" si="16"/>
        <v>0</v>
      </c>
      <c r="F73" s="6"/>
      <c r="G73" s="8">
        <v>46312</v>
      </c>
      <c r="H73" s="8">
        <v>46312</v>
      </c>
      <c r="I73" s="8"/>
      <c r="J73" s="9"/>
      <c r="K73" s="10">
        <f>L72</f>
        <v>1.4583333333333337</v>
      </c>
      <c r="L73" s="10">
        <f t="shared" ref="L73:L74" si="27">K73+C73</f>
        <v>1.5000000000000004</v>
      </c>
      <c r="M73" s="77">
        <f t="shared" si="24"/>
        <v>4.1666666666666741E-2</v>
      </c>
      <c r="N73" s="10"/>
      <c r="O73" s="10"/>
      <c r="P73" s="77" t="str">
        <f t="shared" si="17"/>
        <v/>
      </c>
      <c r="Q73" s="11" t="str">
        <f t="shared" si="18"/>
        <v/>
      </c>
      <c r="R73" s="12" t="str">
        <f t="shared" si="19"/>
        <v>Not Started</v>
      </c>
      <c r="S73" s="61" t="s">
        <v>53</v>
      </c>
    </row>
    <row r="74" spans="1:19" ht="29.4" customHeight="1" x14ac:dyDescent="0.35">
      <c r="A74" s="2">
        <f t="shared" si="26"/>
        <v>23</v>
      </c>
      <c r="B74" s="7" t="s">
        <v>108</v>
      </c>
      <c r="C74" s="62">
        <f>1/24</f>
        <v>4.1666666666666664E-2</v>
      </c>
      <c r="D74" s="5">
        <f t="shared" si="15"/>
        <v>2.0408163265306118</v>
      </c>
      <c r="E74" s="5">
        <f t="shared" si="16"/>
        <v>0</v>
      </c>
      <c r="F74" s="6"/>
      <c r="G74" s="8">
        <v>46312</v>
      </c>
      <c r="H74" s="8">
        <v>46312</v>
      </c>
      <c r="I74" s="8"/>
      <c r="J74" s="9"/>
      <c r="K74" s="10">
        <f t="shared" ref="K74" si="28">L73</f>
        <v>1.5000000000000004</v>
      </c>
      <c r="L74" s="10">
        <f t="shared" si="27"/>
        <v>1.5416666666666672</v>
      </c>
      <c r="M74" s="77">
        <f t="shared" si="24"/>
        <v>4.1666666666666741E-2</v>
      </c>
      <c r="N74" s="10"/>
      <c r="O74" s="10"/>
      <c r="P74" s="77" t="str">
        <f t="shared" si="17"/>
        <v/>
      </c>
      <c r="Q74" s="11" t="str">
        <f t="shared" si="18"/>
        <v/>
      </c>
      <c r="R74" s="12" t="str">
        <f t="shared" si="19"/>
        <v>Not Started</v>
      </c>
      <c r="S74" s="33"/>
    </row>
    <row r="75" spans="1:19" ht="29.4" customHeight="1" x14ac:dyDescent="0.35">
      <c r="A75" s="24">
        <f>A74+1</f>
        <v>24</v>
      </c>
      <c r="B75" s="16" t="s">
        <v>110</v>
      </c>
      <c r="C75" s="74">
        <f>2/24</f>
        <v>8.3333333333333329E-2</v>
      </c>
      <c r="D75" s="17">
        <f t="shared" si="15"/>
        <v>4.0816326530612237</v>
      </c>
      <c r="E75" s="17">
        <f t="shared" si="16"/>
        <v>0</v>
      </c>
      <c r="F75" s="18"/>
      <c r="G75" s="19">
        <v>46312</v>
      </c>
      <c r="H75" s="19">
        <v>46312</v>
      </c>
      <c r="I75" s="19"/>
      <c r="J75" s="20"/>
      <c r="K75" s="21">
        <v>1.6250000000000004</v>
      </c>
      <c r="L75" s="21">
        <v>1.5833333333333337</v>
      </c>
      <c r="M75" s="76">
        <v>8.3333333333333259E-2</v>
      </c>
      <c r="N75" s="21"/>
      <c r="O75" s="21"/>
      <c r="P75" s="76" t="str">
        <f t="shared" si="17"/>
        <v/>
      </c>
      <c r="Q75" s="22" t="str">
        <f t="shared" si="18"/>
        <v/>
      </c>
      <c r="R75" s="23" t="str">
        <f t="shared" si="19"/>
        <v>Not Started</v>
      </c>
      <c r="S75" s="34" t="s">
        <v>90</v>
      </c>
    </row>
    <row r="76" spans="1:19" ht="29.4" customHeight="1" x14ac:dyDescent="0.35">
      <c r="A76" s="63">
        <f>A75+1</f>
        <v>25</v>
      </c>
      <c r="B76" s="64" t="s">
        <v>54</v>
      </c>
      <c r="C76" s="65"/>
      <c r="D76" s="66"/>
      <c r="E76" s="66"/>
      <c r="F76" s="67"/>
      <c r="G76" s="68">
        <v>46312</v>
      </c>
      <c r="H76" s="68">
        <v>46312</v>
      </c>
      <c r="I76" s="68"/>
      <c r="J76" s="69"/>
      <c r="K76" s="70"/>
      <c r="L76" s="70"/>
      <c r="M76" s="78"/>
      <c r="N76" s="70"/>
      <c r="O76" s="70"/>
      <c r="P76" s="78" t="str">
        <f t="shared" si="17"/>
        <v/>
      </c>
      <c r="Q76" s="71" t="str">
        <f t="shared" si="18"/>
        <v/>
      </c>
      <c r="R76" s="72" t="str">
        <f t="shared" si="19"/>
        <v>Not Started</v>
      </c>
      <c r="S76" s="73" t="s">
        <v>89</v>
      </c>
    </row>
    <row r="77" spans="1:19" ht="29.4" customHeight="1" x14ac:dyDescent="0.35">
      <c r="A77" s="2">
        <f>A76+1</f>
        <v>26</v>
      </c>
      <c r="B77" s="7" t="s">
        <v>111</v>
      </c>
      <c r="C77" s="62">
        <f>4/24</f>
        <v>0.16666666666666666</v>
      </c>
      <c r="D77" s="5">
        <f t="shared" si="15"/>
        <v>8.1632653061224474</v>
      </c>
      <c r="E77" s="5">
        <f t="shared" si="16"/>
        <v>0</v>
      </c>
      <c r="F77" s="6"/>
      <c r="G77" s="8">
        <v>46312</v>
      </c>
      <c r="H77" s="8">
        <v>46312</v>
      </c>
      <c r="I77" s="8"/>
      <c r="J77" s="9"/>
      <c r="K77" s="10">
        <f>L69</f>
        <v>0.16666666666666666</v>
      </c>
      <c r="L77" s="10">
        <f t="shared" ref="L77:L79" si="29">K77+C77</f>
        <v>0.33333333333333331</v>
      </c>
      <c r="M77" s="77">
        <f t="shared" si="24"/>
        <v>0.16666666666666666</v>
      </c>
      <c r="N77" s="10"/>
      <c r="O77" s="10"/>
      <c r="P77" s="77" t="str">
        <f t="shared" si="17"/>
        <v/>
      </c>
      <c r="Q77" s="11" t="str">
        <f t="shared" si="18"/>
        <v/>
      </c>
      <c r="R77" s="12" t="str">
        <f t="shared" si="19"/>
        <v>Not Started</v>
      </c>
      <c r="S77" s="33"/>
    </row>
    <row r="78" spans="1:19" ht="29.4" customHeight="1" x14ac:dyDescent="0.35">
      <c r="A78" s="2">
        <f>A77+1</f>
        <v>27</v>
      </c>
      <c r="B78" s="7" t="s">
        <v>112</v>
      </c>
      <c r="C78" s="62">
        <f>4/24</f>
        <v>0.16666666666666666</v>
      </c>
      <c r="D78" s="5">
        <f t="shared" si="15"/>
        <v>8.1632653061224474</v>
      </c>
      <c r="E78" s="5">
        <f t="shared" si="16"/>
        <v>0</v>
      </c>
      <c r="F78" s="6"/>
      <c r="G78" s="8">
        <v>46312</v>
      </c>
      <c r="H78" s="8">
        <v>46312</v>
      </c>
      <c r="I78" s="8"/>
      <c r="J78" s="9"/>
      <c r="K78" s="10">
        <f>L74</f>
        <v>1.5416666666666672</v>
      </c>
      <c r="L78" s="10">
        <f t="shared" si="29"/>
        <v>1.7083333333333339</v>
      </c>
      <c r="M78" s="77">
        <f t="shared" si="24"/>
        <v>0.16666666666666674</v>
      </c>
      <c r="N78" s="10"/>
      <c r="O78" s="10"/>
      <c r="P78" s="77" t="str">
        <f t="shared" si="17"/>
        <v/>
      </c>
      <c r="Q78" s="11" t="str">
        <f t="shared" si="18"/>
        <v/>
      </c>
      <c r="R78" s="12" t="str">
        <f t="shared" si="19"/>
        <v>Not Started</v>
      </c>
      <c r="S78" s="33"/>
    </row>
    <row r="79" spans="1:19" ht="29.4" customHeight="1" x14ac:dyDescent="0.35">
      <c r="A79" s="2">
        <f t="shared" si="26"/>
        <v>28</v>
      </c>
      <c r="B79" s="7" t="s">
        <v>33</v>
      </c>
      <c r="C79" s="62">
        <f>7/24</f>
        <v>0.29166666666666669</v>
      </c>
      <c r="D79" s="5">
        <f>(C79/$C$47)*100</f>
        <v>14.285714285714285</v>
      </c>
      <c r="E79" s="5">
        <f t="shared" si="16"/>
        <v>0</v>
      </c>
      <c r="F79" s="6"/>
      <c r="G79" s="8">
        <v>46312</v>
      </c>
      <c r="H79" s="8">
        <v>46312</v>
      </c>
      <c r="I79" s="8"/>
      <c r="J79" s="9"/>
      <c r="K79" s="10">
        <f t="shared" ref="K79" si="30">L78</f>
        <v>1.7083333333333339</v>
      </c>
      <c r="L79" s="10">
        <f t="shared" si="29"/>
        <v>2.0000000000000004</v>
      </c>
      <c r="M79" s="77">
        <f t="shared" si="24"/>
        <v>0.29166666666666652</v>
      </c>
      <c r="N79" s="10"/>
      <c r="O79" s="10"/>
      <c r="P79" s="77" t="str">
        <f t="shared" si="17"/>
        <v/>
      </c>
      <c r="Q79" s="11" t="str">
        <f t="shared" si="18"/>
        <v/>
      </c>
      <c r="R79" s="12" t="str">
        <f t="shared" si="19"/>
        <v>Not Started</v>
      </c>
      <c r="S79" s="33"/>
    </row>
    <row r="80" spans="1:19" ht="19.5" hidden="1" customHeight="1" x14ac:dyDescent="0.35">
      <c r="A80" s="32"/>
      <c r="C80" s="62">
        <f>SUM(C53:C79)-C75</f>
        <v>1.9166666666666665</v>
      </c>
      <c r="D80" s="13">
        <f>SUM(D53:D79)</f>
        <v>97.95918367346934</v>
      </c>
      <c r="E80" s="106">
        <f>SUM(E53:E79)/D80</f>
        <v>0</v>
      </c>
      <c r="F80" s="15" t="s">
        <v>34</v>
      </c>
      <c r="S80" s="31"/>
    </row>
    <row r="81" spans="1:22" ht="24.75" customHeight="1" x14ac:dyDescent="0.35">
      <c r="A81" s="116" t="s">
        <v>1</v>
      </c>
      <c r="B81" s="112" t="s">
        <v>2</v>
      </c>
      <c r="C81" s="118" t="s">
        <v>3</v>
      </c>
      <c r="D81" s="118" t="s">
        <v>4</v>
      </c>
      <c r="E81" s="118" t="s">
        <v>5</v>
      </c>
      <c r="F81" s="85"/>
      <c r="G81" s="120" t="s">
        <v>7</v>
      </c>
      <c r="H81" s="121"/>
      <c r="I81" s="105"/>
      <c r="J81" s="112" t="s">
        <v>8</v>
      </c>
      <c r="K81" s="120" t="s">
        <v>9</v>
      </c>
      <c r="L81" s="121"/>
      <c r="M81" s="112" t="s">
        <v>10</v>
      </c>
      <c r="N81" s="120" t="s">
        <v>11</v>
      </c>
      <c r="O81" s="121"/>
      <c r="P81" s="112" t="s">
        <v>12</v>
      </c>
      <c r="Q81" s="114" t="s">
        <v>35</v>
      </c>
      <c r="R81" s="112" t="s">
        <v>13</v>
      </c>
      <c r="S81" s="110" t="s">
        <v>14</v>
      </c>
    </row>
    <row r="82" spans="1:22" ht="66" customHeight="1" thickBot="1" x14ac:dyDescent="0.4">
      <c r="A82" s="117"/>
      <c r="B82" s="113"/>
      <c r="C82" s="119"/>
      <c r="D82" s="119"/>
      <c r="E82" s="119"/>
      <c r="F82" s="25" t="s">
        <v>6</v>
      </c>
      <c r="G82" s="26" t="s">
        <v>15</v>
      </c>
      <c r="H82" s="26" t="s">
        <v>16</v>
      </c>
      <c r="I82" s="104"/>
      <c r="J82" s="113"/>
      <c r="K82" s="26" t="s">
        <v>15</v>
      </c>
      <c r="L82" s="26" t="s">
        <v>16</v>
      </c>
      <c r="M82" s="113"/>
      <c r="N82" s="26" t="s">
        <v>15</v>
      </c>
      <c r="O82" s="26" t="s">
        <v>16</v>
      </c>
      <c r="P82" s="113"/>
      <c r="Q82" s="115"/>
      <c r="R82" s="113"/>
      <c r="S82" s="111"/>
    </row>
    <row r="83" spans="1:22" ht="15.5" thickTop="1" thickBot="1" x14ac:dyDescent="0.4">
      <c r="A83" s="32"/>
      <c r="S83" s="31"/>
    </row>
    <row r="84" spans="1:22" ht="44.5" thickTop="1" x14ac:dyDescent="0.35">
      <c r="A84" s="136" t="s">
        <v>96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V84" s="28"/>
    </row>
    <row r="85" spans="1:22" ht="29.4" customHeight="1" x14ac:dyDescent="0.35">
      <c r="A85" s="2">
        <v>1</v>
      </c>
      <c r="B85" s="3" t="s">
        <v>17</v>
      </c>
      <c r="C85" s="4" t="s">
        <v>18</v>
      </c>
      <c r="D85" s="5"/>
      <c r="E85" s="5"/>
      <c r="F85" s="6"/>
      <c r="G85" s="48"/>
      <c r="H85" s="49"/>
      <c r="I85" s="49"/>
      <c r="J85" s="50"/>
      <c r="K85" s="51"/>
      <c r="L85" s="51"/>
      <c r="M85" s="75"/>
      <c r="N85" s="51"/>
      <c r="O85" s="51"/>
      <c r="P85" s="75"/>
      <c r="Q85" s="52"/>
      <c r="R85" s="53" t="str">
        <f t="shared" ref="R85:R108" si="31">IF(F85=100%,"Completed",IF(F85=0,"Not Started","In Progress"))</f>
        <v>Not Started</v>
      </c>
      <c r="S85" s="54"/>
      <c r="V85" s="28" t="s">
        <v>38</v>
      </c>
    </row>
    <row r="86" spans="1:22" ht="29.4" customHeight="1" x14ac:dyDescent="0.35">
      <c r="A86" s="24">
        <v>2</v>
      </c>
      <c r="B86" s="16" t="s">
        <v>113</v>
      </c>
      <c r="C86" s="102"/>
      <c r="D86" s="17">
        <v>2.0299999999999998</v>
      </c>
      <c r="E86" s="17">
        <f t="shared" ref="E86" si="32">D86*F86</f>
        <v>0</v>
      </c>
      <c r="F86" s="18"/>
      <c r="G86" s="55">
        <v>46311</v>
      </c>
      <c r="H86" s="56">
        <v>46311</v>
      </c>
      <c r="I86" s="56"/>
      <c r="J86" s="57"/>
      <c r="K86" s="58">
        <v>0</v>
      </c>
      <c r="L86" s="58">
        <v>4.1666666666666664E-2</v>
      </c>
      <c r="M86" s="76">
        <v>4.1666666666666664E-2</v>
      </c>
      <c r="N86" s="21"/>
      <c r="O86" s="21"/>
      <c r="P86" s="76" t="str">
        <f t="shared" ref="P86:P112" si="33">IF(OR(I86="",J86="",N86="",O86=""),"",((J86+O86)-(I86+N86)))</f>
        <v/>
      </c>
      <c r="Q86" s="59" t="str">
        <f t="shared" ref="Q86:Q112" si="34">IF(OR(H86="",J86="",L86="",O86=""),"",IF((J86+O86)&lt;(H86+L86),"Ahead",IF((J86+O86)=(H86+L86),"On-Time","Delayed")))</f>
        <v/>
      </c>
      <c r="R86" s="60" t="str">
        <f t="shared" si="31"/>
        <v>Not Started</v>
      </c>
      <c r="S86" s="34" t="s">
        <v>90</v>
      </c>
      <c r="V86" s="28"/>
    </row>
    <row r="87" spans="1:22" ht="29.4" customHeight="1" x14ac:dyDescent="0.35">
      <c r="A87" s="2">
        <f>A86+1</f>
        <v>3</v>
      </c>
      <c r="B87" s="7" t="s">
        <v>19</v>
      </c>
      <c r="C87" s="96">
        <f t="shared" ref="C87:C89" si="35">1/24</f>
        <v>4.1666666666666664E-2</v>
      </c>
      <c r="D87" s="5">
        <f t="shared" ref="D87:D102" si="36">(C87/$C$47)*100</f>
        <v>2.0408163265306118</v>
      </c>
      <c r="E87" s="5">
        <f>D87*F87</f>
        <v>0</v>
      </c>
      <c r="F87" s="6"/>
      <c r="G87" s="8">
        <v>46311</v>
      </c>
      <c r="H87" s="8">
        <v>46311</v>
      </c>
      <c r="I87" s="8"/>
      <c r="J87" s="9"/>
      <c r="K87" s="10">
        <v>4.1666666666666664E-2</v>
      </c>
      <c r="L87" s="10">
        <v>8.3333333333333329E-2</v>
      </c>
      <c r="M87" s="77">
        <v>4.1666666666666664E-2</v>
      </c>
      <c r="N87" s="10"/>
      <c r="O87" s="10"/>
      <c r="P87" s="77" t="str">
        <f t="shared" si="33"/>
        <v/>
      </c>
      <c r="Q87" s="11" t="str">
        <f t="shared" si="34"/>
        <v/>
      </c>
      <c r="R87" s="12" t="str">
        <f t="shared" si="31"/>
        <v>Not Started</v>
      </c>
      <c r="S87" s="61" t="s">
        <v>53</v>
      </c>
      <c r="V87" s="28" t="s">
        <v>39</v>
      </c>
    </row>
    <row r="88" spans="1:22" ht="29.4" customHeight="1" x14ac:dyDescent="0.35">
      <c r="A88" s="2">
        <f t="shared" ref="A88:A102" si="37">A87+1</f>
        <v>4</v>
      </c>
      <c r="B88" s="7" t="s">
        <v>103</v>
      </c>
      <c r="C88" s="96">
        <v>4.1666666666666664E-2</v>
      </c>
      <c r="D88" s="5">
        <f t="shared" si="36"/>
        <v>2.0408163265306118</v>
      </c>
      <c r="E88" s="5">
        <f t="shared" ref="E88:E102" si="38">D88*F88</f>
        <v>0</v>
      </c>
      <c r="F88" s="6"/>
      <c r="G88" s="8">
        <v>46311</v>
      </c>
      <c r="H88" s="8">
        <v>46311</v>
      </c>
      <c r="I88" s="8"/>
      <c r="J88" s="9"/>
      <c r="K88" s="10">
        <v>0</v>
      </c>
      <c r="L88" s="10">
        <v>4.1666666666666664E-2</v>
      </c>
      <c r="M88" s="77">
        <v>4.1666666666666664E-2</v>
      </c>
      <c r="N88" s="10"/>
      <c r="O88" s="10"/>
      <c r="P88" s="77" t="str">
        <f t="shared" si="33"/>
        <v/>
      </c>
      <c r="Q88" s="11" t="str">
        <f t="shared" si="34"/>
        <v/>
      </c>
      <c r="R88" s="12" t="str">
        <f t="shared" si="31"/>
        <v>Not Started</v>
      </c>
      <c r="S88" s="33"/>
      <c r="V88" s="28"/>
    </row>
    <row r="89" spans="1:22" ht="29.4" customHeight="1" x14ac:dyDescent="0.35">
      <c r="A89" s="2">
        <f t="shared" si="37"/>
        <v>5</v>
      </c>
      <c r="B89" s="7" t="s">
        <v>21</v>
      </c>
      <c r="C89" s="62">
        <f t="shared" si="35"/>
        <v>4.1666666666666664E-2</v>
      </c>
      <c r="D89" s="5">
        <f t="shared" si="36"/>
        <v>2.0408163265306118</v>
      </c>
      <c r="E89" s="5">
        <f t="shared" si="38"/>
        <v>0</v>
      </c>
      <c r="F89" s="6"/>
      <c r="G89" s="8">
        <v>46311</v>
      </c>
      <c r="H89" s="8">
        <v>46311</v>
      </c>
      <c r="I89" s="8"/>
      <c r="J89" s="9"/>
      <c r="K89" s="10">
        <v>8.3333333333333329E-2</v>
      </c>
      <c r="L89" s="10">
        <v>0.125</v>
      </c>
      <c r="M89" s="77">
        <v>4.1666666666666671E-2</v>
      </c>
      <c r="N89" s="10"/>
      <c r="O89" s="10"/>
      <c r="P89" s="77" t="str">
        <f t="shared" si="33"/>
        <v/>
      </c>
      <c r="Q89" s="11" t="str">
        <f t="shared" si="34"/>
        <v/>
      </c>
      <c r="R89" s="12" t="str">
        <f t="shared" si="31"/>
        <v>Not Started</v>
      </c>
      <c r="S89" s="33"/>
      <c r="V89" s="28" t="s">
        <v>40</v>
      </c>
    </row>
    <row r="90" spans="1:22" ht="29.4" customHeight="1" x14ac:dyDescent="0.35">
      <c r="A90" s="2">
        <f t="shared" si="37"/>
        <v>6</v>
      </c>
      <c r="B90" s="7" t="s">
        <v>22</v>
      </c>
      <c r="C90" s="62">
        <f>1/24</f>
        <v>4.1666666666666664E-2</v>
      </c>
      <c r="D90" s="5">
        <f t="shared" si="36"/>
        <v>2.0408163265306118</v>
      </c>
      <c r="E90" s="5">
        <f t="shared" si="38"/>
        <v>0</v>
      </c>
      <c r="F90" s="6"/>
      <c r="G90" s="8">
        <v>46311</v>
      </c>
      <c r="H90" s="8">
        <v>46311</v>
      </c>
      <c r="I90" s="8"/>
      <c r="J90" s="9"/>
      <c r="K90" s="10">
        <f>L89</f>
        <v>0.125</v>
      </c>
      <c r="L90" s="10">
        <v>0.25</v>
      </c>
      <c r="M90" s="77">
        <v>0.125</v>
      </c>
      <c r="N90" s="10"/>
      <c r="O90" s="10"/>
      <c r="P90" s="77" t="str">
        <f t="shared" si="33"/>
        <v/>
      </c>
      <c r="Q90" s="11" t="str">
        <f t="shared" si="34"/>
        <v/>
      </c>
      <c r="R90" s="12" t="str">
        <f t="shared" si="31"/>
        <v>Not Started</v>
      </c>
      <c r="S90" s="33"/>
    </row>
    <row r="91" spans="1:22" ht="29.4" customHeight="1" x14ac:dyDescent="0.35">
      <c r="A91" s="2">
        <f t="shared" si="37"/>
        <v>7</v>
      </c>
      <c r="B91" s="7" t="s">
        <v>23</v>
      </c>
      <c r="C91" s="62">
        <f>2/24</f>
        <v>8.3333333333333329E-2</v>
      </c>
      <c r="D91" s="5">
        <f t="shared" si="36"/>
        <v>4.0816326530612237</v>
      </c>
      <c r="E91" s="5">
        <f t="shared" si="38"/>
        <v>0</v>
      </c>
      <c r="F91" s="6"/>
      <c r="G91" s="8">
        <v>46311</v>
      </c>
      <c r="H91" s="8">
        <v>46311</v>
      </c>
      <c r="I91" s="8"/>
      <c r="J91" s="9"/>
      <c r="K91" s="10">
        <f>L90</f>
        <v>0.25</v>
      </c>
      <c r="L91" s="10">
        <v>0.41666666666666663</v>
      </c>
      <c r="M91" s="77">
        <v>0.16666666666666663</v>
      </c>
      <c r="N91" s="10"/>
      <c r="O91" s="10"/>
      <c r="P91" s="77" t="str">
        <f t="shared" si="33"/>
        <v/>
      </c>
      <c r="Q91" s="11" t="str">
        <f t="shared" si="34"/>
        <v/>
      </c>
      <c r="R91" s="12" t="str">
        <f t="shared" si="31"/>
        <v>Not Started</v>
      </c>
      <c r="S91" s="33"/>
    </row>
    <row r="92" spans="1:22" ht="29.4" customHeight="1" x14ac:dyDescent="0.35">
      <c r="A92" s="2">
        <f t="shared" si="37"/>
        <v>8</v>
      </c>
      <c r="B92" s="7" t="s">
        <v>24</v>
      </c>
      <c r="C92" s="62">
        <f>2/24</f>
        <v>8.3333333333333329E-2</v>
      </c>
      <c r="D92" s="5">
        <f t="shared" si="36"/>
        <v>4.0816326530612237</v>
      </c>
      <c r="E92" s="5">
        <f t="shared" si="38"/>
        <v>0</v>
      </c>
      <c r="F92" s="6"/>
      <c r="G92" s="8">
        <v>46311</v>
      </c>
      <c r="H92" s="8">
        <v>46311</v>
      </c>
      <c r="I92" s="8"/>
      <c r="J92" s="9"/>
      <c r="K92" s="10">
        <f t="shared" ref="K92:K102" si="39">L91</f>
        <v>0.41666666666666663</v>
      </c>
      <c r="L92" s="10">
        <f t="shared" ref="L92:L112" si="40">K92+C92</f>
        <v>0.49999999999999994</v>
      </c>
      <c r="M92" s="77">
        <f t="shared" ref="M92:M112" si="41">L92-K92</f>
        <v>8.3333333333333315E-2</v>
      </c>
      <c r="N92" s="10"/>
      <c r="O92" s="10"/>
      <c r="P92" s="77" t="str">
        <f t="shared" si="33"/>
        <v/>
      </c>
      <c r="Q92" s="11" t="str">
        <f t="shared" si="34"/>
        <v/>
      </c>
      <c r="R92" s="12" t="str">
        <f t="shared" si="31"/>
        <v>Not Started</v>
      </c>
      <c r="S92" s="33"/>
    </row>
    <row r="93" spans="1:22" ht="29.4" customHeight="1" x14ac:dyDescent="0.35">
      <c r="A93" s="2">
        <f t="shared" si="37"/>
        <v>9</v>
      </c>
      <c r="B93" s="7" t="s">
        <v>25</v>
      </c>
      <c r="C93" s="62">
        <f>3/24</f>
        <v>0.125</v>
      </c>
      <c r="D93" s="5">
        <f t="shared" si="36"/>
        <v>6.1224489795918355</v>
      </c>
      <c r="E93" s="5">
        <f t="shared" si="38"/>
        <v>0</v>
      </c>
      <c r="F93" s="6"/>
      <c r="G93" s="8">
        <v>46311</v>
      </c>
      <c r="H93" s="8">
        <v>46311</v>
      </c>
      <c r="I93" s="8"/>
      <c r="J93" s="9"/>
      <c r="K93" s="10">
        <f t="shared" si="39"/>
        <v>0.49999999999999994</v>
      </c>
      <c r="L93" s="10">
        <f t="shared" si="40"/>
        <v>0.625</v>
      </c>
      <c r="M93" s="77">
        <f t="shared" si="41"/>
        <v>0.12500000000000006</v>
      </c>
      <c r="N93" s="10"/>
      <c r="O93" s="10"/>
      <c r="P93" s="77" t="str">
        <f t="shared" si="33"/>
        <v/>
      </c>
      <c r="Q93" s="11" t="str">
        <f t="shared" si="34"/>
        <v/>
      </c>
      <c r="R93" s="12" t="str">
        <f t="shared" si="31"/>
        <v>Not Started</v>
      </c>
      <c r="S93" s="33"/>
    </row>
    <row r="94" spans="1:22" ht="29.4" customHeight="1" x14ac:dyDescent="0.35">
      <c r="A94" s="2">
        <f t="shared" si="37"/>
        <v>10</v>
      </c>
      <c r="B94" s="7" t="s">
        <v>26</v>
      </c>
      <c r="C94" s="62">
        <f>1/24</f>
        <v>4.1666666666666664E-2</v>
      </c>
      <c r="D94" s="5">
        <f t="shared" si="36"/>
        <v>2.0408163265306118</v>
      </c>
      <c r="E94" s="5">
        <f t="shared" si="38"/>
        <v>0</v>
      </c>
      <c r="F94" s="6"/>
      <c r="G94" s="8">
        <v>46311</v>
      </c>
      <c r="H94" s="8">
        <v>46311</v>
      </c>
      <c r="I94" s="8"/>
      <c r="J94" s="9"/>
      <c r="K94" s="10">
        <f t="shared" si="39"/>
        <v>0.625</v>
      </c>
      <c r="L94" s="10">
        <f t="shared" si="40"/>
        <v>0.66666666666666663</v>
      </c>
      <c r="M94" s="77">
        <f t="shared" si="41"/>
        <v>4.166666666666663E-2</v>
      </c>
      <c r="N94" s="10"/>
      <c r="O94" s="10"/>
      <c r="P94" s="77" t="str">
        <f t="shared" si="33"/>
        <v/>
      </c>
      <c r="Q94" s="11" t="str">
        <f t="shared" si="34"/>
        <v/>
      </c>
      <c r="R94" s="12" t="str">
        <f t="shared" si="31"/>
        <v>Not Started</v>
      </c>
      <c r="S94" s="33"/>
    </row>
    <row r="95" spans="1:22" ht="29.4" customHeight="1" x14ac:dyDescent="0.35">
      <c r="A95" s="2">
        <f t="shared" si="37"/>
        <v>11</v>
      </c>
      <c r="B95" s="7" t="s">
        <v>27</v>
      </c>
      <c r="C95" s="62">
        <f>3/24</f>
        <v>0.125</v>
      </c>
      <c r="D95" s="5">
        <f t="shared" si="36"/>
        <v>6.1224489795918355</v>
      </c>
      <c r="E95" s="5">
        <f t="shared" si="38"/>
        <v>0</v>
      </c>
      <c r="F95" s="6"/>
      <c r="G95" s="8">
        <v>46311</v>
      </c>
      <c r="H95" s="8">
        <v>46311</v>
      </c>
      <c r="I95" s="8"/>
      <c r="J95" s="9"/>
      <c r="K95" s="10">
        <f t="shared" si="39"/>
        <v>0.66666666666666663</v>
      </c>
      <c r="L95" s="10">
        <f t="shared" si="40"/>
        <v>0.79166666666666663</v>
      </c>
      <c r="M95" s="77">
        <f t="shared" si="41"/>
        <v>0.125</v>
      </c>
      <c r="N95" s="10"/>
      <c r="O95" s="10"/>
      <c r="P95" s="77" t="str">
        <f t="shared" si="33"/>
        <v/>
      </c>
      <c r="Q95" s="11" t="str">
        <f t="shared" si="34"/>
        <v/>
      </c>
      <c r="R95" s="12" t="str">
        <f t="shared" si="31"/>
        <v>Not Started</v>
      </c>
      <c r="S95" s="33"/>
    </row>
    <row r="96" spans="1:22" ht="29.4" customHeight="1" x14ac:dyDescent="0.35">
      <c r="A96" s="2">
        <f t="shared" si="37"/>
        <v>12</v>
      </c>
      <c r="B96" s="7" t="s">
        <v>55</v>
      </c>
      <c r="C96" s="62">
        <f>1/24</f>
        <v>4.1666666666666664E-2</v>
      </c>
      <c r="D96" s="5">
        <f t="shared" si="36"/>
        <v>2.0408163265306118</v>
      </c>
      <c r="E96" s="5">
        <f t="shared" si="38"/>
        <v>0</v>
      </c>
      <c r="F96" s="6"/>
      <c r="G96" s="8">
        <v>46311</v>
      </c>
      <c r="H96" s="8">
        <v>46311</v>
      </c>
      <c r="I96" s="8"/>
      <c r="J96" s="9"/>
      <c r="K96" s="10">
        <f t="shared" si="39"/>
        <v>0.79166666666666663</v>
      </c>
      <c r="L96" s="10">
        <f t="shared" si="40"/>
        <v>0.83333333333333326</v>
      </c>
      <c r="M96" s="77">
        <f t="shared" si="41"/>
        <v>4.166666666666663E-2</v>
      </c>
      <c r="N96" s="10"/>
      <c r="O96" s="10"/>
      <c r="P96" s="77" t="str">
        <f t="shared" si="33"/>
        <v/>
      </c>
      <c r="Q96" s="11" t="str">
        <f t="shared" si="34"/>
        <v/>
      </c>
      <c r="R96" s="12" t="str">
        <f t="shared" si="31"/>
        <v>Not Started</v>
      </c>
      <c r="S96" s="33"/>
    </row>
    <row r="97" spans="1:19" ht="29.4" customHeight="1" x14ac:dyDescent="0.35">
      <c r="A97" s="2">
        <f t="shared" si="37"/>
        <v>13</v>
      </c>
      <c r="B97" s="7" t="s">
        <v>28</v>
      </c>
      <c r="C97" s="62">
        <f t="shared" ref="C97:C103" si="42">1/24</f>
        <v>4.1666666666666664E-2</v>
      </c>
      <c r="D97" s="5">
        <f t="shared" si="36"/>
        <v>2.0408163265306118</v>
      </c>
      <c r="E97" s="5">
        <f t="shared" si="38"/>
        <v>0</v>
      </c>
      <c r="F97" s="6"/>
      <c r="G97" s="8">
        <v>46311</v>
      </c>
      <c r="H97" s="8">
        <v>46311</v>
      </c>
      <c r="I97" s="8"/>
      <c r="J97" s="9"/>
      <c r="K97" s="10">
        <f t="shared" si="39"/>
        <v>0.83333333333333326</v>
      </c>
      <c r="L97" s="10">
        <f t="shared" si="40"/>
        <v>0.87499999999999989</v>
      </c>
      <c r="M97" s="77">
        <f t="shared" si="41"/>
        <v>4.166666666666663E-2</v>
      </c>
      <c r="N97" s="10"/>
      <c r="O97" s="10"/>
      <c r="P97" s="77" t="str">
        <f t="shared" si="33"/>
        <v/>
      </c>
      <c r="Q97" s="11" t="str">
        <f t="shared" si="34"/>
        <v/>
      </c>
      <c r="R97" s="12" t="str">
        <f t="shared" si="31"/>
        <v>Not Started</v>
      </c>
      <c r="S97" s="33"/>
    </row>
    <row r="98" spans="1:19" ht="29.4" customHeight="1" x14ac:dyDescent="0.35">
      <c r="A98" s="2">
        <f t="shared" si="37"/>
        <v>14</v>
      </c>
      <c r="B98" s="7" t="s">
        <v>104</v>
      </c>
      <c r="C98" s="62">
        <f t="shared" si="42"/>
        <v>4.1666666666666664E-2</v>
      </c>
      <c r="D98" s="5">
        <f t="shared" si="36"/>
        <v>2.0408163265306118</v>
      </c>
      <c r="E98" s="5">
        <f t="shared" si="38"/>
        <v>0</v>
      </c>
      <c r="F98" s="6"/>
      <c r="G98" s="8">
        <v>46311</v>
      </c>
      <c r="H98" s="8">
        <v>46311</v>
      </c>
      <c r="I98" s="8"/>
      <c r="J98" s="9"/>
      <c r="K98" s="10">
        <f t="shared" si="39"/>
        <v>0.87499999999999989</v>
      </c>
      <c r="L98" s="10">
        <f t="shared" si="40"/>
        <v>0.91666666666666652</v>
      </c>
      <c r="M98" s="77">
        <f t="shared" si="41"/>
        <v>4.166666666666663E-2</v>
      </c>
      <c r="N98" s="10"/>
      <c r="O98" s="10"/>
      <c r="P98" s="77" t="str">
        <f t="shared" si="33"/>
        <v/>
      </c>
      <c r="Q98" s="11" t="str">
        <f t="shared" si="34"/>
        <v/>
      </c>
      <c r="R98" s="12" t="str">
        <f t="shared" si="31"/>
        <v>Not Started</v>
      </c>
      <c r="S98" s="33"/>
    </row>
    <row r="99" spans="1:19" ht="29.4" customHeight="1" x14ac:dyDescent="0.35">
      <c r="A99" s="2">
        <f t="shared" si="37"/>
        <v>15</v>
      </c>
      <c r="B99" s="7" t="s">
        <v>29</v>
      </c>
      <c r="C99" s="62">
        <f t="shared" si="42"/>
        <v>4.1666666666666664E-2</v>
      </c>
      <c r="D99" s="5">
        <f t="shared" si="36"/>
        <v>2.0408163265306118</v>
      </c>
      <c r="E99" s="5">
        <f t="shared" si="38"/>
        <v>0</v>
      </c>
      <c r="F99" s="6"/>
      <c r="G99" s="8">
        <v>46311</v>
      </c>
      <c r="H99" s="8">
        <v>46311</v>
      </c>
      <c r="I99" s="8"/>
      <c r="J99" s="9"/>
      <c r="K99" s="10">
        <f t="shared" si="39"/>
        <v>0.91666666666666652</v>
      </c>
      <c r="L99" s="10">
        <f t="shared" si="40"/>
        <v>0.95833333333333315</v>
      </c>
      <c r="M99" s="77">
        <f t="shared" si="41"/>
        <v>4.166666666666663E-2</v>
      </c>
      <c r="N99" s="10"/>
      <c r="O99" s="10"/>
      <c r="P99" s="77" t="str">
        <f t="shared" si="33"/>
        <v/>
      </c>
      <c r="Q99" s="11" t="str">
        <f t="shared" si="34"/>
        <v/>
      </c>
      <c r="R99" s="12" t="str">
        <f t="shared" si="31"/>
        <v>Not Started</v>
      </c>
      <c r="S99" s="33"/>
    </row>
    <row r="100" spans="1:19" ht="29.4" customHeight="1" x14ac:dyDescent="0.35">
      <c r="A100" s="2">
        <f t="shared" si="37"/>
        <v>16</v>
      </c>
      <c r="B100" s="7" t="s">
        <v>105</v>
      </c>
      <c r="C100" s="62">
        <f t="shared" si="42"/>
        <v>4.1666666666666664E-2</v>
      </c>
      <c r="D100" s="5">
        <f t="shared" si="36"/>
        <v>2.0408163265306118</v>
      </c>
      <c r="E100" s="5">
        <f t="shared" si="38"/>
        <v>0</v>
      </c>
      <c r="F100" s="6"/>
      <c r="G100" s="8">
        <v>46311</v>
      </c>
      <c r="H100" s="8">
        <v>46311</v>
      </c>
      <c r="I100" s="8"/>
      <c r="J100" s="9"/>
      <c r="K100" s="10">
        <f t="shared" si="39"/>
        <v>0.95833333333333315</v>
      </c>
      <c r="L100" s="10">
        <f t="shared" si="40"/>
        <v>0.99999999999999978</v>
      </c>
      <c r="M100" s="77">
        <f t="shared" si="41"/>
        <v>4.166666666666663E-2</v>
      </c>
      <c r="N100" s="10"/>
      <c r="O100" s="10"/>
      <c r="P100" s="77" t="str">
        <f t="shared" si="33"/>
        <v/>
      </c>
      <c r="Q100" s="11" t="str">
        <f t="shared" si="34"/>
        <v/>
      </c>
      <c r="R100" s="12" t="str">
        <f t="shared" si="31"/>
        <v>Not Started</v>
      </c>
      <c r="S100" s="33"/>
    </row>
    <row r="101" spans="1:19" ht="29.4" customHeight="1" x14ac:dyDescent="0.35">
      <c r="A101" s="2">
        <f t="shared" si="37"/>
        <v>17</v>
      </c>
      <c r="B101" s="7" t="s">
        <v>31</v>
      </c>
      <c r="C101" s="62">
        <f t="shared" si="42"/>
        <v>4.1666666666666664E-2</v>
      </c>
      <c r="D101" s="5">
        <f t="shared" si="36"/>
        <v>2.0408163265306118</v>
      </c>
      <c r="E101" s="5">
        <f t="shared" si="38"/>
        <v>0</v>
      </c>
      <c r="F101" s="6"/>
      <c r="G101" s="8">
        <v>46312</v>
      </c>
      <c r="H101" s="8">
        <v>46312</v>
      </c>
      <c r="I101" s="8"/>
      <c r="J101" s="9"/>
      <c r="K101" s="10">
        <f t="shared" si="39"/>
        <v>0.99999999999999978</v>
      </c>
      <c r="L101" s="10">
        <f t="shared" si="40"/>
        <v>1.0416666666666665</v>
      </c>
      <c r="M101" s="77">
        <f t="shared" si="41"/>
        <v>4.1666666666666741E-2</v>
      </c>
      <c r="N101" s="10"/>
      <c r="O101" s="10"/>
      <c r="P101" s="77" t="str">
        <f t="shared" si="33"/>
        <v/>
      </c>
      <c r="Q101" s="11" t="str">
        <f t="shared" si="34"/>
        <v/>
      </c>
      <c r="R101" s="12" t="str">
        <f t="shared" si="31"/>
        <v>Not Started</v>
      </c>
      <c r="S101" s="33"/>
    </row>
    <row r="102" spans="1:19" ht="29.4" customHeight="1" x14ac:dyDescent="0.35">
      <c r="A102" s="2">
        <f t="shared" si="37"/>
        <v>18</v>
      </c>
      <c r="B102" s="7" t="s">
        <v>32</v>
      </c>
      <c r="C102" s="62">
        <f t="shared" si="42"/>
        <v>4.1666666666666664E-2</v>
      </c>
      <c r="D102" s="5">
        <f t="shared" si="36"/>
        <v>2.0408163265306118</v>
      </c>
      <c r="E102" s="5">
        <f t="shared" si="38"/>
        <v>0</v>
      </c>
      <c r="F102" s="6"/>
      <c r="G102" s="8">
        <v>46312</v>
      </c>
      <c r="H102" s="8">
        <v>46312</v>
      </c>
      <c r="I102" s="8"/>
      <c r="J102" s="9"/>
      <c r="K102" s="10">
        <f t="shared" si="39"/>
        <v>1.0416666666666665</v>
      </c>
      <c r="L102" s="10">
        <f t="shared" si="40"/>
        <v>1.0833333333333333</v>
      </c>
      <c r="M102" s="77">
        <f t="shared" si="41"/>
        <v>4.1666666666666741E-2</v>
      </c>
      <c r="N102" s="10"/>
      <c r="O102" s="10"/>
      <c r="P102" s="77" t="str">
        <f t="shared" si="33"/>
        <v/>
      </c>
      <c r="Q102" s="11" t="str">
        <f t="shared" si="34"/>
        <v/>
      </c>
      <c r="R102" s="12" t="str">
        <f t="shared" si="31"/>
        <v>Not Started</v>
      </c>
      <c r="S102" s="33"/>
    </row>
    <row r="103" spans="1:19" ht="29.4" customHeight="1" x14ac:dyDescent="0.35">
      <c r="A103" s="24">
        <v>19</v>
      </c>
      <c r="B103" s="16" t="s">
        <v>114</v>
      </c>
      <c r="C103" s="102">
        <f t="shared" si="42"/>
        <v>4.1666666666666664E-2</v>
      </c>
      <c r="D103" s="17">
        <v>4</v>
      </c>
      <c r="E103" s="17">
        <f>D103*F103</f>
        <v>0</v>
      </c>
      <c r="F103" s="18"/>
      <c r="G103" s="19">
        <v>46312</v>
      </c>
      <c r="H103" s="19">
        <v>46312</v>
      </c>
      <c r="I103" s="19"/>
      <c r="J103" s="20"/>
      <c r="K103" s="21">
        <v>0.33333333333333331</v>
      </c>
      <c r="L103" s="21">
        <f t="shared" si="40"/>
        <v>0.375</v>
      </c>
      <c r="M103" s="76">
        <v>8.3333333333333259E-2</v>
      </c>
      <c r="N103" s="21"/>
      <c r="O103" s="21"/>
      <c r="P103" s="76" t="str">
        <f t="shared" si="33"/>
        <v/>
      </c>
      <c r="Q103" s="22" t="str">
        <f t="shared" si="34"/>
        <v/>
      </c>
      <c r="R103" s="23" t="str">
        <f t="shared" si="31"/>
        <v>Not Started</v>
      </c>
      <c r="S103" s="34" t="s">
        <v>90</v>
      </c>
    </row>
    <row r="104" spans="1:19" ht="29.4" customHeight="1" x14ac:dyDescent="0.35">
      <c r="A104" s="2">
        <f>A103+1</f>
        <v>20</v>
      </c>
      <c r="B104" s="7" t="s">
        <v>91</v>
      </c>
      <c r="C104" s="96">
        <v>8.3333333333333329E-2</v>
      </c>
      <c r="D104" s="5">
        <v>1.3</v>
      </c>
      <c r="E104" s="5">
        <f t="shared" ref="E104:E107" si="43">D104*F104</f>
        <v>0</v>
      </c>
      <c r="F104" s="6"/>
      <c r="G104" s="8">
        <v>46312</v>
      </c>
      <c r="H104" s="8">
        <v>46312</v>
      </c>
      <c r="I104" s="8"/>
      <c r="J104" s="9"/>
      <c r="K104" s="10">
        <f>L102</f>
        <v>1.0833333333333333</v>
      </c>
      <c r="L104" s="10">
        <f t="shared" si="40"/>
        <v>1.1666666666666665</v>
      </c>
      <c r="M104" s="77">
        <f t="shared" si="41"/>
        <v>8.3333333333333259E-2</v>
      </c>
      <c r="N104" s="10"/>
      <c r="O104" s="10"/>
      <c r="P104" s="77" t="str">
        <f t="shared" si="33"/>
        <v/>
      </c>
      <c r="Q104" s="11" t="str">
        <f t="shared" si="34"/>
        <v/>
      </c>
      <c r="R104" s="12" t="str">
        <f t="shared" si="31"/>
        <v>Not Started</v>
      </c>
      <c r="S104" s="33"/>
    </row>
    <row r="105" spans="1:19" ht="29.4" customHeight="1" x14ac:dyDescent="0.35">
      <c r="A105" s="2">
        <f t="shared" ref="A105:A112" si="44">A104+1</f>
        <v>21</v>
      </c>
      <c r="B105" s="7" t="s">
        <v>115</v>
      </c>
      <c r="C105" s="96">
        <v>8.3333333333333329E-2</v>
      </c>
      <c r="D105" s="5">
        <v>1.31</v>
      </c>
      <c r="E105" s="5">
        <f t="shared" si="43"/>
        <v>0</v>
      </c>
      <c r="F105" s="6"/>
      <c r="G105" s="8">
        <v>46312</v>
      </c>
      <c r="H105" s="8">
        <v>46312</v>
      </c>
      <c r="I105" s="8"/>
      <c r="J105" s="9"/>
      <c r="K105" s="10">
        <v>0.375</v>
      </c>
      <c r="L105" s="10">
        <f t="shared" si="40"/>
        <v>0.45833333333333331</v>
      </c>
      <c r="M105" s="77">
        <f t="shared" si="41"/>
        <v>8.3333333333333315E-2</v>
      </c>
      <c r="N105" s="10"/>
      <c r="O105" s="10"/>
      <c r="P105" s="77" t="str">
        <f t="shared" si="33"/>
        <v/>
      </c>
      <c r="Q105" s="11" t="str">
        <f t="shared" si="34"/>
        <v/>
      </c>
      <c r="R105" s="12" t="str">
        <f t="shared" si="31"/>
        <v>Not Started</v>
      </c>
      <c r="S105" s="33"/>
    </row>
    <row r="106" spans="1:19" ht="29.4" customHeight="1" x14ac:dyDescent="0.35">
      <c r="A106" s="2">
        <f t="shared" si="44"/>
        <v>22</v>
      </c>
      <c r="B106" s="7" t="s">
        <v>107</v>
      </c>
      <c r="C106" s="62">
        <f>1/24</f>
        <v>4.1666666666666664E-2</v>
      </c>
      <c r="D106" s="5">
        <f>(C106/$C$47)*100</f>
        <v>2.0408163265306118</v>
      </c>
      <c r="E106" s="5">
        <f t="shared" si="43"/>
        <v>0</v>
      </c>
      <c r="F106" s="6"/>
      <c r="G106" s="8">
        <v>46312</v>
      </c>
      <c r="H106" s="8">
        <v>46312</v>
      </c>
      <c r="I106" s="8"/>
      <c r="J106" s="9"/>
      <c r="K106" s="10">
        <f>L103</f>
        <v>0.375</v>
      </c>
      <c r="L106" s="10">
        <f t="shared" si="40"/>
        <v>0.41666666666666669</v>
      </c>
      <c r="M106" s="77">
        <f t="shared" si="41"/>
        <v>4.1666666666666685E-2</v>
      </c>
      <c r="N106" s="10"/>
      <c r="O106" s="10"/>
      <c r="P106" s="77" t="str">
        <f t="shared" si="33"/>
        <v/>
      </c>
      <c r="Q106" s="11" t="str">
        <f t="shared" si="34"/>
        <v/>
      </c>
      <c r="R106" s="12" t="str">
        <f t="shared" si="31"/>
        <v>Not Started</v>
      </c>
      <c r="S106" s="61" t="s">
        <v>53</v>
      </c>
    </row>
    <row r="107" spans="1:19" ht="29.4" customHeight="1" x14ac:dyDescent="0.35">
      <c r="A107" s="2">
        <f t="shared" si="44"/>
        <v>23</v>
      </c>
      <c r="B107" s="7" t="s">
        <v>108</v>
      </c>
      <c r="C107" s="62">
        <f>1/24</f>
        <v>4.1666666666666664E-2</v>
      </c>
      <c r="D107" s="5">
        <f>(C107/$C$47)*100</f>
        <v>2.0408163265306118</v>
      </c>
      <c r="E107" s="5">
        <f t="shared" si="43"/>
        <v>0</v>
      </c>
      <c r="F107" s="6"/>
      <c r="G107" s="8">
        <v>46312</v>
      </c>
      <c r="H107" s="8">
        <v>46312</v>
      </c>
      <c r="I107" s="8"/>
      <c r="J107" s="9"/>
      <c r="K107" s="10">
        <f t="shared" ref="K107" si="45">L106</f>
        <v>0.41666666666666669</v>
      </c>
      <c r="L107" s="10">
        <f t="shared" si="40"/>
        <v>0.45833333333333337</v>
      </c>
      <c r="M107" s="77">
        <f t="shared" si="41"/>
        <v>4.1666666666666685E-2</v>
      </c>
      <c r="N107" s="10"/>
      <c r="O107" s="10"/>
      <c r="P107" s="77" t="str">
        <f t="shared" si="33"/>
        <v/>
      </c>
      <c r="Q107" s="11" t="str">
        <f t="shared" si="34"/>
        <v/>
      </c>
      <c r="R107" s="12" t="str">
        <f t="shared" si="31"/>
        <v>Not Started</v>
      </c>
      <c r="S107" s="33"/>
    </row>
    <row r="108" spans="1:19" ht="29.4" customHeight="1" x14ac:dyDescent="0.35">
      <c r="A108" s="24">
        <f>A107+1</f>
        <v>24</v>
      </c>
      <c r="B108" s="16" t="s">
        <v>110</v>
      </c>
      <c r="C108" s="74">
        <f>2/24</f>
        <v>8.3333333333333329E-2</v>
      </c>
      <c r="D108" s="17"/>
      <c r="E108" s="17"/>
      <c r="F108" s="18"/>
      <c r="G108" s="19">
        <v>46312</v>
      </c>
      <c r="H108" s="19">
        <v>46312</v>
      </c>
      <c r="I108" s="19"/>
      <c r="J108" s="20"/>
      <c r="K108" s="21">
        <v>1.6250000000000004</v>
      </c>
      <c r="L108" s="21">
        <v>1.5833333333333337</v>
      </c>
      <c r="M108" s="76">
        <v>8.3333333333333259E-2</v>
      </c>
      <c r="N108" s="21"/>
      <c r="O108" s="21"/>
      <c r="P108" s="76" t="str">
        <f t="shared" si="33"/>
        <v/>
      </c>
      <c r="Q108" s="22" t="str">
        <f t="shared" si="34"/>
        <v/>
      </c>
      <c r="R108" s="23" t="str">
        <f t="shared" si="31"/>
        <v>Not Started</v>
      </c>
      <c r="S108" s="34" t="s">
        <v>90</v>
      </c>
    </row>
    <row r="109" spans="1:19" ht="29.4" customHeight="1" x14ac:dyDescent="0.35">
      <c r="A109" s="63">
        <f>A108+1</f>
        <v>25</v>
      </c>
      <c r="B109" s="64" t="s">
        <v>54</v>
      </c>
      <c r="C109" s="65"/>
      <c r="D109" s="66"/>
      <c r="E109" s="66"/>
      <c r="F109" s="67"/>
      <c r="G109" s="68">
        <v>46312</v>
      </c>
      <c r="H109" s="68">
        <v>46312</v>
      </c>
      <c r="I109" s="68"/>
      <c r="J109" s="69"/>
      <c r="K109" s="70"/>
      <c r="L109" s="70"/>
      <c r="M109" s="78">
        <f t="shared" si="41"/>
        <v>0</v>
      </c>
      <c r="N109" s="70"/>
      <c r="O109" s="70"/>
      <c r="P109" s="78" t="str">
        <f t="shared" si="33"/>
        <v/>
      </c>
      <c r="Q109" s="71" t="str">
        <f t="shared" si="34"/>
        <v/>
      </c>
      <c r="R109" s="72"/>
      <c r="S109" s="73" t="s">
        <v>89</v>
      </c>
    </row>
    <row r="110" spans="1:19" ht="29.4" customHeight="1" x14ac:dyDescent="0.35">
      <c r="A110" s="2">
        <f>A109+1</f>
        <v>26</v>
      </c>
      <c r="B110" s="7" t="s">
        <v>111</v>
      </c>
      <c r="C110" s="62">
        <f>4/24</f>
        <v>0.16666666666666666</v>
      </c>
      <c r="D110" s="5"/>
      <c r="E110" s="5"/>
      <c r="F110" s="6"/>
      <c r="G110" s="8">
        <v>46312</v>
      </c>
      <c r="H110" s="8">
        <v>46312</v>
      </c>
      <c r="I110" s="8"/>
      <c r="J110" s="9"/>
      <c r="K110" s="10">
        <v>0.70833333333333337</v>
      </c>
      <c r="L110" s="10">
        <f t="shared" si="40"/>
        <v>0.875</v>
      </c>
      <c r="M110" s="77">
        <f t="shared" si="41"/>
        <v>0.16666666666666663</v>
      </c>
      <c r="N110" s="10"/>
      <c r="O110" s="10"/>
      <c r="P110" s="77" t="str">
        <f t="shared" si="33"/>
        <v/>
      </c>
      <c r="Q110" s="11" t="str">
        <f t="shared" si="34"/>
        <v/>
      </c>
      <c r="R110" s="12"/>
      <c r="S110" s="33"/>
    </row>
    <row r="111" spans="1:19" ht="29.4" hidden="1" customHeight="1" x14ac:dyDescent="0.35">
      <c r="A111" s="2">
        <f>A110+1</f>
        <v>27</v>
      </c>
      <c r="B111" s="7" t="s">
        <v>112</v>
      </c>
      <c r="C111" s="62"/>
      <c r="D111" s="5"/>
      <c r="E111" s="5"/>
      <c r="F111" s="6"/>
      <c r="G111" s="8">
        <v>46312</v>
      </c>
      <c r="H111" s="8">
        <v>46312</v>
      </c>
      <c r="I111" s="8"/>
      <c r="J111" s="9"/>
      <c r="K111" s="10">
        <f>L110</f>
        <v>0.875</v>
      </c>
      <c r="L111" s="10">
        <f t="shared" si="40"/>
        <v>0.875</v>
      </c>
      <c r="M111" s="77">
        <f t="shared" si="41"/>
        <v>0</v>
      </c>
      <c r="N111" s="10"/>
      <c r="O111" s="10"/>
      <c r="P111" s="77" t="str">
        <f t="shared" si="33"/>
        <v/>
      </c>
      <c r="Q111" s="11" t="str">
        <f t="shared" si="34"/>
        <v/>
      </c>
      <c r="R111" s="12"/>
      <c r="S111" s="33"/>
    </row>
    <row r="112" spans="1:19" ht="29.4" customHeight="1" x14ac:dyDescent="0.35">
      <c r="A112" s="2">
        <f t="shared" si="44"/>
        <v>28</v>
      </c>
      <c r="B112" s="7" t="s">
        <v>33</v>
      </c>
      <c r="C112" s="62">
        <f>1/24</f>
        <v>4.1666666666666664E-2</v>
      </c>
      <c r="D112" s="5">
        <v>2</v>
      </c>
      <c r="E112" s="5">
        <f t="shared" ref="E112" si="46">D112*F112</f>
        <v>0</v>
      </c>
      <c r="F112" s="6"/>
      <c r="G112" s="8">
        <v>46312</v>
      </c>
      <c r="H112" s="8">
        <v>46312</v>
      </c>
      <c r="I112" s="8"/>
      <c r="J112" s="9"/>
      <c r="K112" s="10">
        <v>0.95833333333333337</v>
      </c>
      <c r="L112" s="10">
        <f t="shared" si="40"/>
        <v>1</v>
      </c>
      <c r="M112" s="77">
        <f t="shared" si="41"/>
        <v>4.166666666666663E-2</v>
      </c>
      <c r="N112" s="10"/>
      <c r="O112" s="10"/>
      <c r="P112" s="77" t="str">
        <f t="shared" si="33"/>
        <v/>
      </c>
      <c r="Q112" s="11" t="str">
        <f t="shared" si="34"/>
        <v/>
      </c>
      <c r="R112" s="12" t="str">
        <f t="shared" ref="R112" si="47">IF(F112=100%,"Completed",IF(F112=0,"Not Started","In Progress"))</f>
        <v>Not Started</v>
      </c>
      <c r="S112" s="33"/>
    </row>
    <row r="113" spans="1:22" ht="19.5" hidden="1" customHeight="1" x14ac:dyDescent="0.35">
      <c r="A113" s="32"/>
      <c r="C113" s="62">
        <f>SUM(C86:C112)-C108</f>
        <v>1.4166666666666665</v>
      </c>
      <c r="D113" s="13">
        <f>SUM(D86:D112)</f>
        <v>59.619591836734671</v>
      </c>
      <c r="E113" s="106">
        <f>SUM(E86:E112)/D113</f>
        <v>0</v>
      </c>
      <c r="F113" s="15" t="s">
        <v>34</v>
      </c>
      <c r="S113" s="31"/>
    </row>
    <row r="114" spans="1:22" ht="24.75" customHeight="1" x14ac:dyDescent="0.35">
      <c r="A114" s="116" t="s">
        <v>1</v>
      </c>
      <c r="B114" s="112" t="s">
        <v>2</v>
      </c>
      <c r="C114" s="118" t="s">
        <v>3</v>
      </c>
      <c r="D114" s="118" t="s">
        <v>4</v>
      </c>
      <c r="E114" s="118" t="s">
        <v>5</v>
      </c>
      <c r="F114" s="85"/>
      <c r="G114" s="120" t="s">
        <v>7</v>
      </c>
      <c r="H114" s="121"/>
      <c r="I114" s="120" t="s">
        <v>117</v>
      </c>
      <c r="J114" s="121"/>
      <c r="K114" s="120" t="s">
        <v>9</v>
      </c>
      <c r="L114" s="121"/>
      <c r="M114" s="112" t="s">
        <v>10</v>
      </c>
      <c r="N114" s="120" t="s">
        <v>11</v>
      </c>
      <c r="O114" s="121"/>
      <c r="P114" s="112" t="s">
        <v>12</v>
      </c>
      <c r="Q114" s="114" t="s">
        <v>35</v>
      </c>
      <c r="R114" s="112" t="s">
        <v>13</v>
      </c>
      <c r="S114" s="110" t="s">
        <v>14</v>
      </c>
    </row>
    <row r="115" spans="1:22" ht="66" customHeight="1" thickBot="1" x14ac:dyDescent="0.4">
      <c r="A115" s="117"/>
      <c r="B115" s="113"/>
      <c r="C115" s="119"/>
      <c r="D115" s="119"/>
      <c r="E115" s="119"/>
      <c r="F115" s="25" t="s">
        <v>6</v>
      </c>
      <c r="G115" s="26" t="s">
        <v>15</v>
      </c>
      <c r="H115" s="26" t="s">
        <v>16</v>
      </c>
      <c r="I115" s="26" t="s">
        <v>15</v>
      </c>
      <c r="J115" s="26" t="s">
        <v>16</v>
      </c>
      <c r="K115" s="26" t="s">
        <v>15</v>
      </c>
      <c r="L115" s="26" t="s">
        <v>16</v>
      </c>
      <c r="M115" s="113"/>
      <c r="N115" s="26" t="s">
        <v>15</v>
      </c>
      <c r="O115" s="26" t="s">
        <v>16</v>
      </c>
      <c r="P115" s="113"/>
      <c r="Q115" s="115"/>
      <c r="R115" s="113"/>
      <c r="S115" s="111"/>
    </row>
    <row r="116" spans="1:22" ht="15.5" hidden="1" thickTop="1" thickBot="1" x14ac:dyDescent="0.4">
      <c r="A116" s="32"/>
      <c r="S116" s="31"/>
    </row>
    <row r="117" spans="1:22" ht="44.5" thickTop="1" x14ac:dyDescent="0.35">
      <c r="A117" s="136" t="s">
        <v>97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V117" s="28"/>
    </row>
    <row r="118" spans="1:22" ht="29.4" customHeight="1" x14ac:dyDescent="0.35">
      <c r="A118" s="2">
        <v>1</v>
      </c>
      <c r="B118" s="3" t="s">
        <v>17</v>
      </c>
      <c r="C118" s="4" t="s">
        <v>18</v>
      </c>
      <c r="D118" s="5"/>
      <c r="E118" s="5"/>
      <c r="F118" s="6"/>
      <c r="G118" s="48"/>
      <c r="H118" s="49"/>
      <c r="I118" s="49"/>
      <c r="J118" s="50"/>
      <c r="K118" s="51"/>
      <c r="L118" s="51"/>
      <c r="M118" s="75"/>
      <c r="N118" s="51"/>
      <c r="O118" s="51"/>
      <c r="P118" s="75"/>
      <c r="Q118" s="52"/>
      <c r="R118" s="53" t="str">
        <f t="shared" ref="R118:R145" si="48">IF(F118=100%,"Completed",IF(F118=0,"Not Started","In Progress"))</f>
        <v>Not Started</v>
      </c>
      <c r="S118" s="54"/>
      <c r="V118" s="28" t="s">
        <v>38</v>
      </c>
    </row>
    <row r="119" spans="1:22" ht="29.4" customHeight="1" x14ac:dyDescent="0.35">
      <c r="A119" s="24">
        <f>A118+1</f>
        <v>2</v>
      </c>
      <c r="B119" s="16" t="s">
        <v>116</v>
      </c>
      <c r="C119" s="102">
        <f>1/24</f>
        <v>4.1666666666666664E-2</v>
      </c>
      <c r="D119" s="17">
        <v>2.0299999999999998</v>
      </c>
      <c r="E119" s="17">
        <f t="shared" ref="E119" si="49">D119*F119</f>
        <v>0</v>
      </c>
      <c r="F119" s="18"/>
      <c r="G119" s="55">
        <v>46311</v>
      </c>
      <c r="H119" s="56">
        <v>46311</v>
      </c>
      <c r="I119" s="56"/>
      <c r="J119" s="57"/>
      <c r="K119" s="58">
        <v>0</v>
      </c>
      <c r="L119" s="58">
        <v>4.1666666666666664E-2</v>
      </c>
      <c r="M119" s="76">
        <v>4.1666666666666664E-2</v>
      </c>
      <c r="N119" s="21"/>
      <c r="O119" s="21"/>
      <c r="P119" s="76" t="str">
        <f t="shared" ref="P119:P145" si="50">IF(OR(I119="",J119="",N119="",O119=""),"",((J119+O119)-(I119+N119)))</f>
        <v/>
      </c>
      <c r="Q119" s="59" t="str">
        <f t="shared" ref="Q119:Q145" si="51">IF(OR(H119="",J119="",L119="",O119=""),"",IF((J119+O119)&lt;(H119+L119),"Ahead",IF((J119+O119)=(H119+L119),"On-Time","Delayed")))</f>
        <v/>
      </c>
      <c r="R119" s="60" t="str">
        <f t="shared" si="48"/>
        <v>Not Started</v>
      </c>
      <c r="S119" s="34" t="s">
        <v>90</v>
      </c>
      <c r="V119" s="28"/>
    </row>
    <row r="120" spans="1:22" ht="29.4" customHeight="1" x14ac:dyDescent="0.35">
      <c r="A120" s="2">
        <v>3</v>
      </c>
      <c r="B120" s="7" t="s">
        <v>19</v>
      </c>
      <c r="C120" s="96">
        <f t="shared" ref="C120:C122" si="52">1/24</f>
        <v>4.1666666666666664E-2</v>
      </c>
      <c r="D120" s="5">
        <f t="shared" ref="D120:D135" si="53">(C120/$C$47)*100</f>
        <v>2.0408163265306118</v>
      </c>
      <c r="E120" s="5">
        <f>D120*F120</f>
        <v>0</v>
      </c>
      <c r="F120" s="6"/>
      <c r="G120" s="8">
        <v>46311</v>
      </c>
      <c r="H120" s="8">
        <v>46311</v>
      </c>
      <c r="I120" s="8"/>
      <c r="J120" s="9"/>
      <c r="K120" s="10">
        <v>4.1666666666666664E-2</v>
      </c>
      <c r="L120" s="10">
        <v>8.3333333333333329E-2</v>
      </c>
      <c r="M120" s="77">
        <v>4.1666666666666664E-2</v>
      </c>
      <c r="N120" s="10"/>
      <c r="O120" s="10"/>
      <c r="P120" s="77" t="str">
        <f t="shared" si="50"/>
        <v/>
      </c>
      <c r="Q120" s="11" t="str">
        <f t="shared" si="51"/>
        <v/>
      </c>
      <c r="R120" s="12" t="str">
        <f t="shared" si="48"/>
        <v>Not Started</v>
      </c>
      <c r="S120" s="61" t="s">
        <v>53</v>
      </c>
      <c r="V120" s="28" t="s">
        <v>39</v>
      </c>
    </row>
    <row r="121" spans="1:22" ht="29.4" customHeight="1" x14ac:dyDescent="0.35">
      <c r="A121" s="2">
        <f t="shared" ref="A121:A135" si="54">A120+1</f>
        <v>4</v>
      </c>
      <c r="B121" s="7" t="s">
        <v>20</v>
      </c>
      <c r="C121" s="96">
        <v>4.1666666666666664E-2</v>
      </c>
      <c r="D121" s="5">
        <f t="shared" si="53"/>
        <v>2.0408163265306118</v>
      </c>
      <c r="E121" s="5">
        <f t="shared" ref="E121:E135" si="55">D121*F121</f>
        <v>0</v>
      </c>
      <c r="F121" s="6"/>
      <c r="G121" s="8">
        <v>46311</v>
      </c>
      <c r="H121" s="8">
        <v>46311</v>
      </c>
      <c r="I121" s="8"/>
      <c r="J121" s="9"/>
      <c r="K121" s="10">
        <v>0</v>
      </c>
      <c r="L121" s="10">
        <v>4.1666666666666664E-2</v>
      </c>
      <c r="M121" s="77">
        <v>4.1666666666666664E-2</v>
      </c>
      <c r="N121" s="10"/>
      <c r="O121" s="10"/>
      <c r="P121" s="77" t="str">
        <f t="shared" si="50"/>
        <v/>
      </c>
      <c r="Q121" s="11" t="str">
        <f t="shared" si="51"/>
        <v/>
      </c>
      <c r="R121" s="12" t="str">
        <f t="shared" si="48"/>
        <v>Not Started</v>
      </c>
      <c r="S121" s="33"/>
      <c r="V121" s="28"/>
    </row>
    <row r="122" spans="1:22" ht="29.4" customHeight="1" x14ac:dyDescent="0.35">
      <c r="A122" s="2">
        <f t="shared" si="54"/>
        <v>5</v>
      </c>
      <c r="B122" s="7" t="s">
        <v>21</v>
      </c>
      <c r="C122" s="62">
        <f t="shared" si="52"/>
        <v>4.1666666666666664E-2</v>
      </c>
      <c r="D122" s="5">
        <f t="shared" si="53"/>
        <v>2.0408163265306118</v>
      </c>
      <c r="E122" s="5">
        <f t="shared" si="55"/>
        <v>0</v>
      </c>
      <c r="F122" s="6"/>
      <c r="G122" s="8">
        <v>46311</v>
      </c>
      <c r="H122" s="8">
        <v>46311</v>
      </c>
      <c r="I122" s="8"/>
      <c r="J122" s="9"/>
      <c r="K122" s="10">
        <v>8.3333333333333329E-2</v>
      </c>
      <c r="L122" s="10">
        <v>0.125</v>
      </c>
      <c r="M122" s="77">
        <v>4.1666666666666671E-2</v>
      </c>
      <c r="N122" s="10"/>
      <c r="O122" s="10"/>
      <c r="P122" s="77" t="str">
        <f t="shared" si="50"/>
        <v/>
      </c>
      <c r="Q122" s="11" t="str">
        <f t="shared" si="51"/>
        <v/>
      </c>
      <c r="R122" s="12" t="str">
        <f t="shared" si="48"/>
        <v>Not Started</v>
      </c>
      <c r="S122" s="33"/>
      <c r="V122" s="28" t="s">
        <v>40</v>
      </c>
    </row>
    <row r="123" spans="1:22" ht="29.4" customHeight="1" x14ac:dyDescent="0.35">
      <c r="A123" s="2">
        <f t="shared" si="54"/>
        <v>6</v>
      </c>
      <c r="B123" s="7" t="s">
        <v>22</v>
      </c>
      <c r="C123" s="62">
        <f>1/24</f>
        <v>4.1666666666666664E-2</v>
      </c>
      <c r="D123" s="5">
        <f t="shared" si="53"/>
        <v>2.0408163265306118</v>
      </c>
      <c r="E123" s="5">
        <f t="shared" si="55"/>
        <v>0</v>
      </c>
      <c r="F123" s="6"/>
      <c r="G123" s="8">
        <v>46311</v>
      </c>
      <c r="H123" s="8">
        <v>46311</v>
      </c>
      <c r="I123" s="8"/>
      <c r="J123" s="9"/>
      <c r="K123" s="10">
        <v>0.125</v>
      </c>
      <c r="L123" s="10">
        <v>0.25</v>
      </c>
      <c r="M123" s="77">
        <v>0.125</v>
      </c>
      <c r="N123" s="10"/>
      <c r="O123" s="10"/>
      <c r="P123" s="77" t="str">
        <f t="shared" si="50"/>
        <v/>
      </c>
      <c r="Q123" s="11" t="str">
        <f t="shared" si="51"/>
        <v/>
      </c>
      <c r="R123" s="12" t="str">
        <f t="shared" si="48"/>
        <v>Not Started</v>
      </c>
      <c r="S123" s="33"/>
    </row>
    <row r="124" spans="1:22" ht="29.4" customHeight="1" x14ac:dyDescent="0.35">
      <c r="A124" s="2">
        <f t="shared" si="54"/>
        <v>7</v>
      </c>
      <c r="B124" s="7" t="s">
        <v>23</v>
      </c>
      <c r="C124" s="62">
        <f>2/24</f>
        <v>8.3333333333333329E-2</v>
      </c>
      <c r="D124" s="5">
        <f t="shared" si="53"/>
        <v>4.0816326530612237</v>
      </c>
      <c r="E124" s="5">
        <f t="shared" si="55"/>
        <v>0</v>
      </c>
      <c r="F124" s="6"/>
      <c r="G124" s="8">
        <v>46311</v>
      </c>
      <c r="H124" s="8">
        <v>46311</v>
      </c>
      <c r="I124" s="8"/>
      <c r="J124" s="9"/>
      <c r="K124" s="10">
        <v>0.25</v>
      </c>
      <c r="L124" s="10">
        <v>0.41666666666666663</v>
      </c>
      <c r="M124" s="77">
        <v>0.16666666666666663</v>
      </c>
      <c r="N124" s="10"/>
      <c r="O124" s="10"/>
      <c r="P124" s="77" t="str">
        <f t="shared" si="50"/>
        <v/>
      </c>
      <c r="Q124" s="11" t="str">
        <f t="shared" si="51"/>
        <v/>
      </c>
      <c r="R124" s="12" t="str">
        <f t="shared" si="48"/>
        <v>Not Started</v>
      </c>
      <c r="S124" s="33"/>
    </row>
    <row r="125" spans="1:22" ht="29.4" customHeight="1" x14ac:dyDescent="0.35">
      <c r="A125" s="2">
        <f t="shared" si="54"/>
        <v>8</v>
      </c>
      <c r="B125" s="7" t="s">
        <v>24</v>
      </c>
      <c r="C125" s="62">
        <f>2/24</f>
        <v>8.3333333333333329E-2</v>
      </c>
      <c r="D125" s="5">
        <f t="shared" si="53"/>
        <v>4.0816326530612237</v>
      </c>
      <c r="E125" s="5">
        <f t="shared" si="55"/>
        <v>0</v>
      </c>
      <c r="F125" s="6"/>
      <c r="G125" s="8">
        <v>46311</v>
      </c>
      <c r="H125" s="8">
        <v>46311</v>
      </c>
      <c r="I125" s="8"/>
      <c r="J125" s="9"/>
      <c r="K125" s="10">
        <f t="shared" ref="K125:K135" si="56">L124</f>
        <v>0.41666666666666663</v>
      </c>
      <c r="L125" s="10">
        <f t="shared" ref="L125:L136" si="57">K125+C125</f>
        <v>0.49999999999999994</v>
      </c>
      <c r="M125" s="77">
        <f t="shared" ref="M125:M145" si="58">L125-K125</f>
        <v>8.3333333333333315E-2</v>
      </c>
      <c r="N125" s="10"/>
      <c r="O125" s="10"/>
      <c r="P125" s="77" t="str">
        <f t="shared" si="50"/>
        <v/>
      </c>
      <c r="Q125" s="11" t="str">
        <f t="shared" si="51"/>
        <v/>
      </c>
      <c r="R125" s="12" t="str">
        <f t="shared" si="48"/>
        <v>Not Started</v>
      </c>
      <c r="S125" s="33"/>
    </row>
    <row r="126" spans="1:22" ht="29.4" customHeight="1" x14ac:dyDescent="0.35">
      <c r="A126" s="2">
        <f t="shared" si="54"/>
        <v>9</v>
      </c>
      <c r="B126" s="7" t="s">
        <v>25</v>
      </c>
      <c r="C126" s="62">
        <f>3/24</f>
        <v>0.125</v>
      </c>
      <c r="D126" s="5">
        <f t="shared" si="53"/>
        <v>6.1224489795918355</v>
      </c>
      <c r="E126" s="5">
        <f t="shared" si="55"/>
        <v>0</v>
      </c>
      <c r="F126" s="6"/>
      <c r="G126" s="8">
        <v>46311</v>
      </c>
      <c r="H126" s="8">
        <v>46311</v>
      </c>
      <c r="I126" s="8"/>
      <c r="J126" s="9"/>
      <c r="K126" s="10">
        <f t="shared" si="56"/>
        <v>0.49999999999999994</v>
      </c>
      <c r="L126" s="10">
        <f t="shared" si="57"/>
        <v>0.625</v>
      </c>
      <c r="M126" s="77">
        <f t="shared" si="58"/>
        <v>0.12500000000000006</v>
      </c>
      <c r="N126" s="10"/>
      <c r="O126" s="10"/>
      <c r="P126" s="77" t="str">
        <f t="shared" si="50"/>
        <v/>
      </c>
      <c r="Q126" s="11" t="str">
        <f t="shared" si="51"/>
        <v/>
      </c>
      <c r="R126" s="12" t="str">
        <f t="shared" si="48"/>
        <v>Not Started</v>
      </c>
      <c r="S126" s="33"/>
    </row>
    <row r="127" spans="1:22" ht="29.4" customHeight="1" x14ac:dyDescent="0.35">
      <c r="A127" s="2">
        <f t="shared" si="54"/>
        <v>10</v>
      </c>
      <c r="B127" s="7" t="s">
        <v>26</v>
      </c>
      <c r="C127" s="62">
        <f>2/24</f>
        <v>8.3333333333333329E-2</v>
      </c>
      <c r="D127" s="5">
        <f t="shared" si="53"/>
        <v>4.0816326530612237</v>
      </c>
      <c r="E127" s="5">
        <f t="shared" si="55"/>
        <v>0</v>
      </c>
      <c r="F127" s="6"/>
      <c r="G127" s="8">
        <v>46311</v>
      </c>
      <c r="H127" s="8">
        <v>46311</v>
      </c>
      <c r="I127" s="8"/>
      <c r="J127" s="9"/>
      <c r="K127" s="10">
        <f t="shared" si="56"/>
        <v>0.625</v>
      </c>
      <c r="L127" s="10">
        <f t="shared" si="57"/>
        <v>0.70833333333333337</v>
      </c>
      <c r="M127" s="77">
        <f t="shared" si="58"/>
        <v>8.333333333333337E-2</v>
      </c>
      <c r="N127" s="10"/>
      <c r="O127" s="10"/>
      <c r="P127" s="77" t="str">
        <f t="shared" si="50"/>
        <v/>
      </c>
      <c r="Q127" s="11" t="str">
        <f t="shared" si="51"/>
        <v/>
      </c>
      <c r="R127" s="12" t="str">
        <f t="shared" si="48"/>
        <v>Not Started</v>
      </c>
      <c r="S127" s="33"/>
    </row>
    <row r="128" spans="1:22" ht="29.4" customHeight="1" x14ac:dyDescent="0.35">
      <c r="A128" s="2">
        <f t="shared" si="54"/>
        <v>11</v>
      </c>
      <c r="B128" s="7" t="s">
        <v>27</v>
      </c>
      <c r="C128" s="62">
        <f>3/24</f>
        <v>0.125</v>
      </c>
      <c r="D128" s="5">
        <f t="shared" si="53"/>
        <v>6.1224489795918355</v>
      </c>
      <c r="E128" s="5">
        <f t="shared" si="55"/>
        <v>0</v>
      </c>
      <c r="F128" s="6"/>
      <c r="G128" s="8">
        <v>46311</v>
      </c>
      <c r="H128" s="8">
        <v>46311</v>
      </c>
      <c r="I128" s="8"/>
      <c r="J128" s="9"/>
      <c r="K128" s="10">
        <f t="shared" si="56"/>
        <v>0.70833333333333337</v>
      </c>
      <c r="L128" s="10">
        <f t="shared" si="57"/>
        <v>0.83333333333333337</v>
      </c>
      <c r="M128" s="77">
        <f t="shared" si="58"/>
        <v>0.125</v>
      </c>
      <c r="N128" s="10"/>
      <c r="O128" s="10"/>
      <c r="P128" s="77" t="str">
        <f t="shared" si="50"/>
        <v/>
      </c>
      <c r="Q128" s="11" t="str">
        <f t="shared" si="51"/>
        <v/>
      </c>
      <c r="R128" s="12" t="str">
        <f t="shared" si="48"/>
        <v>Not Started</v>
      </c>
      <c r="S128" s="33"/>
    </row>
    <row r="129" spans="1:19" ht="29.4" customHeight="1" x14ac:dyDescent="0.35">
      <c r="A129" s="2">
        <f t="shared" si="54"/>
        <v>12</v>
      </c>
      <c r="B129" s="7" t="s">
        <v>55</v>
      </c>
      <c r="C129" s="62">
        <f>2/24</f>
        <v>8.3333333333333329E-2</v>
      </c>
      <c r="D129" s="5">
        <f t="shared" si="53"/>
        <v>4.0816326530612237</v>
      </c>
      <c r="E129" s="5">
        <f t="shared" si="55"/>
        <v>0</v>
      </c>
      <c r="F129" s="6"/>
      <c r="G129" s="8">
        <v>46311</v>
      </c>
      <c r="H129" s="8">
        <v>46311</v>
      </c>
      <c r="I129" s="8"/>
      <c r="J129" s="9"/>
      <c r="K129" s="10">
        <f t="shared" si="56"/>
        <v>0.83333333333333337</v>
      </c>
      <c r="L129" s="10">
        <f t="shared" si="57"/>
        <v>0.91666666666666674</v>
      </c>
      <c r="M129" s="77">
        <f t="shared" si="58"/>
        <v>8.333333333333337E-2</v>
      </c>
      <c r="N129" s="10"/>
      <c r="O129" s="10"/>
      <c r="P129" s="77" t="str">
        <f t="shared" si="50"/>
        <v/>
      </c>
      <c r="Q129" s="11" t="str">
        <f t="shared" si="51"/>
        <v/>
      </c>
      <c r="R129" s="12" t="str">
        <f t="shared" si="48"/>
        <v>Not Started</v>
      </c>
      <c r="S129" s="33"/>
    </row>
    <row r="130" spans="1:19" ht="29.4" customHeight="1" x14ac:dyDescent="0.35">
      <c r="A130" s="2">
        <f t="shared" si="54"/>
        <v>13</v>
      </c>
      <c r="B130" s="7" t="s">
        <v>28</v>
      </c>
      <c r="C130" s="62">
        <f t="shared" ref="C130:C135" si="59">1/24</f>
        <v>4.1666666666666664E-2</v>
      </c>
      <c r="D130" s="5">
        <f t="shared" si="53"/>
        <v>2.0408163265306118</v>
      </c>
      <c r="E130" s="5">
        <f t="shared" si="55"/>
        <v>0</v>
      </c>
      <c r="F130" s="6"/>
      <c r="G130" s="8">
        <v>46311</v>
      </c>
      <c r="H130" s="8">
        <v>46311</v>
      </c>
      <c r="I130" s="8"/>
      <c r="J130" s="9"/>
      <c r="K130" s="10">
        <f t="shared" si="56"/>
        <v>0.91666666666666674</v>
      </c>
      <c r="L130" s="10">
        <f t="shared" si="57"/>
        <v>0.95833333333333337</v>
      </c>
      <c r="M130" s="77">
        <f t="shared" si="58"/>
        <v>4.166666666666663E-2</v>
      </c>
      <c r="N130" s="10"/>
      <c r="O130" s="10"/>
      <c r="P130" s="77" t="str">
        <f t="shared" si="50"/>
        <v/>
      </c>
      <c r="Q130" s="11" t="str">
        <f t="shared" si="51"/>
        <v/>
      </c>
      <c r="R130" s="12" t="str">
        <f t="shared" si="48"/>
        <v>Not Started</v>
      </c>
      <c r="S130" s="33"/>
    </row>
    <row r="131" spans="1:19" ht="29.4" customHeight="1" x14ac:dyDescent="0.35">
      <c r="A131" s="2">
        <f t="shared" si="54"/>
        <v>14</v>
      </c>
      <c r="B131" s="7" t="s">
        <v>104</v>
      </c>
      <c r="C131" s="62">
        <f t="shared" si="59"/>
        <v>4.1666666666666664E-2</v>
      </c>
      <c r="D131" s="5">
        <f t="shared" si="53"/>
        <v>2.0408163265306118</v>
      </c>
      <c r="E131" s="5">
        <f t="shared" si="55"/>
        <v>0</v>
      </c>
      <c r="F131" s="6"/>
      <c r="G131" s="8">
        <v>46311</v>
      </c>
      <c r="H131" s="8">
        <v>46311</v>
      </c>
      <c r="I131" s="8"/>
      <c r="J131" s="9"/>
      <c r="K131" s="10">
        <f t="shared" si="56"/>
        <v>0.95833333333333337</v>
      </c>
      <c r="L131" s="10">
        <f t="shared" si="57"/>
        <v>1</v>
      </c>
      <c r="M131" s="77">
        <f t="shared" si="58"/>
        <v>4.166666666666663E-2</v>
      </c>
      <c r="N131" s="10"/>
      <c r="O131" s="10"/>
      <c r="P131" s="77" t="str">
        <f t="shared" si="50"/>
        <v/>
      </c>
      <c r="Q131" s="11" t="str">
        <f t="shared" si="51"/>
        <v/>
      </c>
      <c r="R131" s="12" t="str">
        <f t="shared" si="48"/>
        <v>Not Started</v>
      </c>
      <c r="S131" s="33"/>
    </row>
    <row r="132" spans="1:19" ht="29.4" customHeight="1" x14ac:dyDescent="0.35">
      <c r="A132" s="2">
        <f t="shared" si="54"/>
        <v>15</v>
      </c>
      <c r="B132" s="7" t="s">
        <v>29</v>
      </c>
      <c r="C132" s="62">
        <f t="shared" si="59"/>
        <v>4.1666666666666664E-2</v>
      </c>
      <c r="D132" s="5">
        <f t="shared" si="53"/>
        <v>2.0408163265306118</v>
      </c>
      <c r="E132" s="5">
        <f t="shared" si="55"/>
        <v>0</v>
      </c>
      <c r="F132" s="6"/>
      <c r="G132" s="8">
        <v>46312</v>
      </c>
      <c r="H132" s="8">
        <v>46312</v>
      </c>
      <c r="I132" s="8"/>
      <c r="J132" s="9"/>
      <c r="K132" s="10">
        <f t="shared" si="56"/>
        <v>1</v>
      </c>
      <c r="L132" s="10">
        <f t="shared" si="57"/>
        <v>1.0416666666666667</v>
      </c>
      <c r="M132" s="77">
        <f t="shared" si="58"/>
        <v>4.1666666666666741E-2</v>
      </c>
      <c r="N132" s="10"/>
      <c r="O132" s="10"/>
      <c r="P132" s="77" t="str">
        <f t="shared" si="50"/>
        <v/>
      </c>
      <c r="Q132" s="11" t="str">
        <f t="shared" si="51"/>
        <v/>
      </c>
      <c r="R132" s="12" t="str">
        <f t="shared" si="48"/>
        <v>Not Started</v>
      </c>
      <c r="S132" s="33"/>
    </row>
    <row r="133" spans="1:19" ht="29.4" customHeight="1" x14ac:dyDescent="0.35">
      <c r="A133" s="2">
        <f t="shared" si="54"/>
        <v>16</v>
      </c>
      <c r="B133" s="7" t="s">
        <v>105</v>
      </c>
      <c r="C133" s="62">
        <f t="shared" si="59"/>
        <v>4.1666666666666664E-2</v>
      </c>
      <c r="D133" s="5">
        <f t="shared" si="53"/>
        <v>2.0408163265306118</v>
      </c>
      <c r="E133" s="5">
        <f t="shared" si="55"/>
        <v>0</v>
      </c>
      <c r="F133" s="6"/>
      <c r="G133" s="8">
        <v>46312</v>
      </c>
      <c r="H133" s="8">
        <v>46312</v>
      </c>
      <c r="I133" s="8"/>
      <c r="J133" s="9"/>
      <c r="K133" s="10">
        <f t="shared" si="56"/>
        <v>1.0416666666666667</v>
      </c>
      <c r="L133" s="10">
        <f t="shared" si="57"/>
        <v>1.0833333333333335</v>
      </c>
      <c r="M133" s="77">
        <f t="shared" si="58"/>
        <v>4.1666666666666741E-2</v>
      </c>
      <c r="N133" s="10"/>
      <c r="O133" s="10"/>
      <c r="P133" s="77" t="str">
        <f t="shared" si="50"/>
        <v/>
      </c>
      <c r="Q133" s="11" t="str">
        <f t="shared" si="51"/>
        <v/>
      </c>
      <c r="R133" s="12" t="str">
        <f t="shared" si="48"/>
        <v>Not Started</v>
      </c>
      <c r="S133" s="33"/>
    </row>
    <row r="134" spans="1:19" ht="29.4" customHeight="1" x14ac:dyDescent="0.35">
      <c r="A134" s="2">
        <f t="shared" si="54"/>
        <v>17</v>
      </c>
      <c r="B134" s="7" t="s">
        <v>31</v>
      </c>
      <c r="C134" s="62">
        <f t="shared" si="59"/>
        <v>4.1666666666666664E-2</v>
      </c>
      <c r="D134" s="5">
        <f t="shared" si="53"/>
        <v>2.0408163265306118</v>
      </c>
      <c r="E134" s="5">
        <f t="shared" si="55"/>
        <v>0</v>
      </c>
      <c r="F134" s="6"/>
      <c r="G134" s="8">
        <v>46312</v>
      </c>
      <c r="H134" s="8">
        <v>46312</v>
      </c>
      <c r="I134" s="8"/>
      <c r="J134" s="9"/>
      <c r="K134" s="10">
        <f t="shared" si="56"/>
        <v>1.0833333333333335</v>
      </c>
      <c r="L134" s="10">
        <f t="shared" si="57"/>
        <v>1.1250000000000002</v>
      </c>
      <c r="M134" s="77">
        <f t="shared" si="58"/>
        <v>4.1666666666666741E-2</v>
      </c>
      <c r="N134" s="10"/>
      <c r="O134" s="10"/>
      <c r="P134" s="77" t="str">
        <f t="shared" si="50"/>
        <v/>
      </c>
      <c r="Q134" s="11" t="str">
        <f t="shared" si="51"/>
        <v/>
      </c>
      <c r="R134" s="12" t="str">
        <f t="shared" si="48"/>
        <v>Not Started</v>
      </c>
      <c r="S134" s="33"/>
    </row>
    <row r="135" spans="1:19" ht="29.4" customHeight="1" x14ac:dyDescent="0.35">
      <c r="A135" s="2">
        <f t="shared" si="54"/>
        <v>18</v>
      </c>
      <c r="B135" s="7" t="s">
        <v>32</v>
      </c>
      <c r="C135" s="62">
        <f t="shared" si="59"/>
        <v>4.1666666666666664E-2</v>
      </c>
      <c r="D135" s="5">
        <f t="shared" si="53"/>
        <v>2.0408163265306118</v>
      </c>
      <c r="E135" s="5">
        <f t="shared" si="55"/>
        <v>0</v>
      </c>
      <c r="F135" s="6"/>
      <c r="G135" s="8">
        <v>46312</v>
      </c>
      <c r="H135" s="8">
        <v>46312</v>
      </c>
      <c r="I135" s="8"/>
      <c r="J135" s="9"/>
      <c r="K135" s="10">
        <f t="shared" si="56"/>
        <v>1.1250000000000002</v>
      </c>
      <c r="L135" s="10">
        <f t="shared" si="57"/>
        <v>1.166666666666667</v>
      </c>
      <c r="M135" s="77">
        <f t="shared" si="58"/>
        <v>4.1666666666666741E-2</v>
      </c>
      <c r="N135" s="10"/>
      <c r="O135" s="10"/>
      <c r="P135" s="77" t="str">
        <f t="shared" si="50"/>
        <v/>
      </c>
      <c r="Q135" s="11" t="str">
        <f t="shared" si="51"/>
        <v/>
      </c>
      <c r="R135" s="12" t="str">
        <f t="shared" si="48"/>
        <v>Not Started</v>
      </c>
      <c r="S135" s="33"/>
    </row>
    <row r="136" spans="1:19" ht="29.4" customHeight="1" x14ac:dyDescent="0.35">
      <c r="A136" s="24">
        <f>A135+1</f>
        <v>19</v>
      </c>
      <c r="B136" s="16" t="s">
        <v>119</v>
      </c>
      <c r="C136" s="102">
        <f>2/24</f>
        <v>8.3333333333333329E-2</v>
      </c>
      <c r="D136" s="17">
        <v>4</v>
      </c>
      <c r="E136" s="17">
        <f>D136*F136</f>
        <v>0</v>
      </c>
      <c r="F136" s="18"/>
      <c r="G136" s="19">
        <v>46312</v>
      </c>
      <c r="H136" s="19">
        <v>46312</v>
      </c>
      <c r="I136" s="19"/>
      <c r="J136" s="20"/>
      <c r="K136" s="21">
        <v>0.25</v>
      </c>
      <c r="L136" s="21">
        <f t="shared" si="57"/>
        <v>0.33333333333333331</v>
      </c>
      <c r="M136" s="76">
        <f t="shared" si="58"/>
        <v>8.3333333333333315E-2</v>
      </c>
      <c r="N136" s="21"/>
      <c r="O136" s="21"/>
      <c r="P136" s="76" t="str">
        <f t="shared" si="50"/>
        <v/>
      </c>
      <c r="Q136" s="22" t="str">
        <f t="shared" si="51"/>
        <v/>
      </c>
      <c r="R136" s="23" t="str">
        <f t="shared" si="48"/>
        <v>Not Started</v>
      </c>
      <c r="S136" s="34" t="s">
        <v>90</v>
      </c>
    </row>
    <row r="137" spans="1:19" ht="29.4" customHeight="1" x14ac:dyDescent="0.35">
      <c r="A137" s="2">
        <v>20</v>
      </c>
      <c r="B137" s="7" t="s">
        <v>30</v>
      </c>
      <c r="C137" s="96">
        <v>8.3333333333333329E-2</v>
      </c>
      <c r="D137" s="5">
        <v>1.3</v>
      </c>
      <c r="E137" s="5">
        <f t="shared" ref="E137:E140" si="60">D137*F137</f>
        <v>0</v>
      </c>
      <c r="F137" s="6"/>
      <c r="G137" s="8">
        <v>46312</v>
      </c>
      <c r="H137" s="8">
        <v>46312</v>
      </c>
      <c r="I137" s="8"/>
      <c r="J137" s="9"/>
      <c r="K137" s="10">
        <f>L135</f>
        <v>1.166666666666667</v>
      </c>
      <c r="L137" s="10">
        <f>K137+C136</f>
        <v>1.2500000000000002</v>
      </c>
      <c r="M137" s="77">
        <f t="shared" si="58"/>
        <v>8.3333333333333259E-2</v>
      </c>
      <c r="N137" s="10"/>
      <c r="O137" s="10"/>
      <c r="P137" s="77" t="str">
        <f t="shared" si="50"/>
        <v/>
      </c>
      <c r="Q137" s="11" t="str">
        <f t="shared" si="51"/>
        <v/>
      </c>
      <c r="R137" s="23" t="str">
        <f t="shared" si="48"/>
        <v>Not Started</v>
      </c>
      <c r="S137" s="33"/>
    </row>
    <row r="138" spans="1:19" ht="29.4" customHeight="1" x14ac:dyDescent="0.35">
      <c r="A138" s="2">
        <f t="shared" ref="A138:A145" si="61">A137+1</f>
        <v>21</v>
      </c>
      <c r="B138" s="7" t="s">
        <v>109</v>
      </c>
      <c r="C138" s="96">
        <v>8.3333333333333329E-2</v>
      </c>
      <c r="D138" s="5">
        <v>1.31</v>
      </c>
      <c r="E138" s="5">
        <f t="shared" si="60"/>
        <v>0</v>
      </c>
      <c r="F138" s="6"/>
      <c r="G138" s="8">
        <v>46312</v>
      </c>
      <c r="H138" s="8">
        <v>46312</v>
      </c>
      <c r="I138" s="8"/>
      <c r="J138" s="9"/>
      <c r="K138" s="10">
        <v>0.58333333333333337</v>
      </c>
      <c r="L138" s="10">
        <f>K138+C136</f>
        <v>0.66666666666666674</v>
      </c>
      <c r="M138" s="77">
        <f t="shared" si="58"/>
        <v>8.333333333333337E-2</v>
      </c>
      <c r="N138" s="10"/>
      <c r="O138" s="10"/>
      <c r="P138" s="77" t="str">
        <f t="shared" si="50"/>
        <v/>
      </c>
      <c r="Q138" s="11" t="str">
        <f t="shared" si="51"/>
        <v/>
      </c>
      <c r="R138" s="23" t="str">
        <f t="shared" si="48"/>
        <v>Not Started</v>
      </c>
      <c r="S138" s="33"/>
    </row>
    <row r="139" spans="1:19" ht="29.4" customHeight="1" x14ac:dyDescent="0.35">
      <c r="A139" s="2">
        <f t="shared" si="61"/>
        <v>22</v>
      </c>
      <c r="B139" s="7" t="s">
        <v>107</v>
      </c>
      <c r="C139" s="62">
        <f>1/24</f>
        <v>4.1666666666666664E-2</v>
      </c>
      <c r="D139" s="5">
        <f>(C139/$C$47)*100</f>
        <v>2.0408163265306118</v>
      </c>
      <c r="E139" s="5">
        <f t="shared" si="60"/>
        <v>0</v>
      </c>
      <c r="F139" s="6"/>
      <c r="G139" s="8">
        <v>46312</v>
      </c>
      <c r="H139" s="8">
        <v>46312</v>
      </c>
      <c r="I139" s="8"/>
      <c r="J139" s="9"/>
      <c r="K139" s="10">
        <f>L136</f>
        <v>0.33333333333333331</v>
      </c>
      <c r="L139" s="10">
        <f t="shared" ref="L139:L140" si="62">K139+C139</f>
        <v>0.375</v>
      </c>
      <c r="M139" s="77">
        <f t="shared" si="58"/>
        <v>4.1666666666666685E-2</v>
      </c>
      <c r="N139" s="10"/>
      <c r="O139" s="10"/>
      <c r="P139" s="77" t="str">
        <f t="shared" si="50"/>
        <v/>
      </c>
      <c r="Q139" s="11" t="str">
        <f t="shared" si="51"/>
        <v/>
      </c>
      <c r="R139" s="12" t="str">
        <f t="shared" si="48"/>
        <v>Not Started</v>
      </c>
      <c r="S139" s="61" t="s">
        <v>53</v>
      </c>
    </row>
    <row r="140" spans="1:19" ht="29.4" customHeight="1" x14ac:dyDescent="0.35">
      <c r="A140" s="2">
        <f t="shared" si="61"/>
        <v>23</v>
      </c>
      <c r="B140" s="7" t="s">
        <v>108</v>
      </c>
      <c r="C140" s="62">
        <f>1/24</f>
        <v>4.1666666666666664E-2</v>
      </c>
      <c r="D140" s="5">
        <f>(C140/$C$47)*100</f>
        <v>2.0408163265306118</v>
      </c>
      <c r="E140" s="5">
        <f t="shared" si="60"/>
        <v>0</v>
      </c>
      <c r="F140" s="6"/>
      <c r="G140" s="8">
        <v>46312</v>
      </c>
      <c r="H140" s="8">
        <v>46312</v>
      </c>
      <c r="I140" s="8"/>
      <c r="J140" s="9"/>
      <c r="K140" s="10">
        <f t="shared" ref="K140" si="63">L139</f>
        <v>0.375</v>
      </c>
      <c r="L140" s="10">
        <f t="shared" si="62"/>
        <v>0.41666666666666669</v>
      </c>
      <c r="M140" s="77">
        <f t="shared" si="58"/>
        <v>4.1666666666666685E-2</v>
      </c>
      <c r="N140" s="10"/>
      <c r="O140" s="10"/>
      <c r="P140" s="77" t="str">
        <f t="shared" si="50"/>
        <v/>
      </c>
      <c r="Q140" s="11" t="str">
        <f t="shared" si="51"/>
        <v/>
      </c>
      <c r="R140" s="12" t="str">
        <f t="shared" si="48"/>
        <v>Not Started</v>
      </c>
      <c r="S140" s="33"/>
    </row>
    <row r="141" spans="1:19" ht="29.4" customHeight="1" x14ac:dyDescent="0.35">
      <c r="A141" s="24">
        <f>A140+1</f>
        <v>24</v>
      </c>
      <c r="B141" s="16" t="s">
        <v>120</v>
      </c>
      <c r="C141" s="74">
        <f>2/24</f>
        <v>8.3333333333333329E-2</v>
      </c>
      <c r="D141" s="17"/>
      <c r="E141" s="17"/>
      <c r="F141" s="18"/>
      <c r="G141" s="19">
        <v>46312</v>
      </c>
      <c r="H141" s="19">
        <v>46312</v>
      </c>
      <c r="I141" s="19"/>
      <c r="J141" s="20"/>
      <c r="K141" s="21">
        <v>1.5000000000000004</v>
      </c>
      <c r="L141" s="21">
        <v>1.5833333333333337</v>
      </c>
      <c r="M141" s="76">
        <f t="shared" si="58"/>
        <v>8.3333333333333259E-2</v>
      </c>
      <c r="N141" s="21"/>
      <c r="O141" s="21"/>
      <c r="P141" s="76" t="str">
        <f t="shared" si="50"/>
        <v/>
      </c>
      <c r="Q141" s="22" t="str">
        <f t="shared" si="51"/>
        <v/>
      </c>
      <c r="R141" s="23" t="str">
        <f t="shared" si="48"/>
        <v>Not Started</v>
      </c>
      <c r="S141" s="34" t="s">
        <v>90</v>
      </c>
    </row>
    <row r="142" spans="1:19" ht="29.4" customHeight="1" x14ac:dyDescent="0.35">
      <c r="A142" s="63">
        <f>A141+1</f>
        <v>25</v>
      </c>
      <c r="B142" s="64" t="s">
        <v>54</v>
      </c>
      <c r="C142" s="65"/>
      <c r="D142" s="66"/>
      <c r="E142" s="66"/>
      <c r="F142" s="67"/>
      <c r="G142" s="68">
        <v>46312</v>
      </c>
      <c r="H142" s="68">
        <v>46312</v>
      </c>
      <c r="I142" s="68"/>
      <c r="J142" s="69"/>
      <c r="K142" s="70"/>
      <c r="L142" s="70"/>
      <c r="M142" s="78">
        <f t="shared" si="58"/>
        <v>0</v>
      </c>
      <c r="N142" s="70"/>
      <c r="O142" s="70"/>
      <c r="P142" s="78" t="str">
        <f t="shared" si="50"/>
        <v/>
      </c>
      <c r="Q142" s="71" t="str">
        <f t="shared" si="51"/>
        <v/>
      </c>
      <c r="R142" s="72" t="str">
        <f t="shared" si="48"/>
        <v>Not Started</v>
      </c>
      <c r="S142" s="73" t="s">
        <v>89</v>
      </c>
    </row>
    <row r="143" spans="1:19" ht="29.4" customHeight="1" x14ac:dyDescent="0.35">
      <c r="A143" s="2">
        <f>A142+1</f>
        <v>26</v>
      </c>
      <c r="B143" s="7" t="s">
        <v>111</v>
      </c>
      <c r="C143" s="62">
        <f>4/24</f>
        <v>0.16666666666666666</v>
      </c>
      <c r="D143" s="5">
        <f>(C143/$C$47)*100</f>
        <v>8.1632653061224474</v>
      </c>
      <c r="E143" s="5">
        <f t="shared" ref="E143:E145" si="64">D143*F143</f>
        <v>0</v>
      </c>
      <c r="F143" s="6"/>
      <c r="G143" s="8">
        <v>46312</v>
      </c>
      <c r="H143" s="8">
        <v>46312</v>
      </c>
      <c r="I143" s="8"/>
      <c r="J143" s="9"/>
      <c r="K143" s="10">
        <f>L140</f>
        <v>0.41666666666666669</v>
      </c>
      <c r="L143" s="10">
        <f t="shared" ref="L143:L145" si="65">K143+C143</f>
        <v>0.58333333333333337</v>
      </c>
      <c r="M143" s="77">
        <f t="shared" si="58"/>
        <v>0.16666666666666669</v>
      </c>
      <c r="N143" s="10"/>
      <c r="O143" s="10"/>
      <c r="P143" s="77" t="str">
        <f t="shared" si="50"/>
        <v/>
      </c>
      <c r="Q143" s="11" t="str">
        <f t="shared" si="51"/>
        <v/>
      </c>
      <c r="R143" s="12" t="str">
        <f t="shared" si="48"/>
        <v>Not Started</v>
      </c>
      <c r="S143" s="33"/>
    </row>
    <row r="144" spans="1:19" ht="29.4" customHeight="1" x14ac:dyDescent="0.35">
      <c r="A144" s="2">
        <f>A143+1</f>
        <v>27</v>
      </c>
      <c r="B144" s="7" t="s">
        <v>112</v>
      </c>
      <c r="C144" s="62">
        <f>4/24</f>
        <v>0.16666666666666666</v>
      </c>
      <c r="D144" s="5">
        <f>(C144/$C$47)*100</f>
        <v>8.1632653061224474</v>
      </c>
      <c r="E144" s="5">
        <f t="shared" si="64"/>
        <v>0</v>
      </c>
      <c r="F144" s="6"/>
      <c r="G144" s="8">
        <v>46312</v>
      </c>
      <c r="H144" s="8">
        <v>46312</v>
      </c>
      <c r="I144" s="8"/>
      <c r="J144" s="9"/>
      <c r="K144" s="10">
        <f>L138</f>
        <v>0.66666666666666674</v>
      </c>
      <c r="L144" s="10">
        <f t="shared" si="65"/>
        <v>0.83333333333333337</v>
      </c>
      <c r="M144" s="77">
        <f t="shared" si="58"/>
        <v>0.16666666666666663</v>
      </c>
      <c r="N144" s="10"/>
      <c r="O144" s="10"/>
      <c r="P144" s="77" t="str">
        <f t="shared" si="50"/>
        <v/>
      </c>
      <c r="Q144" s="11" t="str">
        <f t="shared" si="51"/>
        <v/>
      </c>
      <c r="R144" s="12" t="str">
        <f t="shared" si="48"/>
        <v>Not Started</v>
      </c>
      <c r="S144" s="33"/>
    </row>
    <row r="145" spans="1:22" ht="29.4" customHeight="1" x14ac:dyDescent="0.35">
      <c r="A145" s="2">
        <f t="shared" si="61"/>
        <v>28</v>
      </c>
      <c r="B145" s="7" t="s">
        <v>33</v>
      </c>
      <c r="C145" s="62">
        <f>4/24</f>
        <v>0.16666666666666666</v>
      </c>
      <c r="D145" s="5">
        <v>2</v>
      </c>
      <c r="E145" s="5">
        <f t="shared" si="64"/>
        <v>0</v>
      </c>
      <c r="F145" s="6"/>
      <c r="G145" s="8">
        <v>46312</v>
      </c>
      <c r="H145" s="8">
        <v>46312</v>
      </c>
      <c r="I145" s="8"/>
      <c r="J145" s="9"/>
      <c r="K145" s="10">
        <f t="shared" ref="K145" si="66">L144</f>
        <v>0.83333333333333337</v>
      </c>
      <c r="L145" s="10">
        <f t="shared" si="65"/>
        <v>1</v>
      </c>
      <c r="M145" s="77">
        <f t="shared" si="58"/>
        <v>0.16666666666666663</v>
      </c>
      <c r="N145" s="10"/>
      <c r="O145" s="10"/>
      <c r="P145" s="77" t="str">
        <f t="shared" si="50"/>
        <v/>
      </c>
      <c r="Q145" s="11" t="str">
        <f t="shared" si="51"/>
        <v/>
      </c>
      <c r="R145" s="12" t="str">
        <f t="shared" si="48"/>
        <v>Not Started</v>
      </c>
      <c r="S145" s="33"/>
    </row>
    <row r="146" spans="1:22" ht="19.5" hidden="1" customHeight="1" x14ac:dyDescent="0.35">
      <c r="A146" s="32"/>
      <c r="C146" s="62">
        <f>SUM(C119:C145)-C141</f>
        <v>1.875</v>
      </c>
      <c r="D146" s="13">
        <f>SUM(D119:D145)</f>
        <v>80.027755102040771</v>
      </c>
      <c r="E146" s="106">
        <f>SUM(E119:E145)/D146</f>
        <v>0</v>
      </c>
      <c r="F146" s="15" t="s">
        <v>34</v>
      </c>
      <c r="S146" s="31"/>
    </row>
    <row r="147" spans="1:22" ht="24.75" customHeight="1" x14ac:dyDescent="0.35">
      <c r="A147" s="116" t="s">
        <v>1</v>
      </c>
      <c r="B147" s="112" t="s">
        <v>2</v>
      </c>
      <c r="C147" s="118" t="s">
        <v>3</v>
      </c>
      <c r="D147" s="118" t="s">
        <v>4</v>
      </c>
      <c r="E147" s="118" t="s">
        <v>5</v>
      </c>
      <c r="F147" s="85"/>
      <c r="G147" s="120" t="s">
        <v>7</v>
      </c>
      <c r="H147" s="121"/>
      <c r="I147" s="120" t="s">
        <v>118</v>
      </c>
      <c r="J147" s="121"/>
      <c r="K147" s="120" t="s">
        <v>9</v>
      </c>
      <c r="L147" s="121"/>
      <c r="M147" s="112" t="s">
        <v>10</v>
      </c>
      <c r="N147" s="120" t="s">
        <v>11</v>
      </c>
      <c r="O147" s="121"/>
      <c r="P147" s="112" t="s">
        <v>12</v>
      </c>
      <c r="Q147" s="114" t="s">
        <v>35</v>
      </c>
      <c r="R147" s="112" t="s">
        <v>13</v>
      </c>
      <c r="S147" s="110" t="s">
        <v>14</v>
      </c>
    </row>
    <row r="148" spans="1:22" ht="66" customHeight="1" thickBot="1" x14ac:dyDescent="0.4">
      <c r="A148" s="117"/>
      <c r="B148" s="113"/>
      <c r="C148" s="119"/>
      <c r="D148" s="119"/>
      <c r="E148" s="119"/>
      <c r="F148" s="25" t="s">
        <v>6</v>
      </c>
      <c r="G148" s="26" t="s">
        <v>15</v>
      </c>
      <c r="H148" s="26" t="s">
        <v>16</v>
      </c>
      <c r="I148" s="104"/>
      <c r="J148" s="109"/>
      <c r="K148" s="26" t="s">
        <v>15</v>
      </c>
      <c r="L148" s="26" t="s">
        <v>16</v>
      </c>
      <c r="M148" s="113"/>
      <c r="N148" s="26" t="s">
        <v>15</v>
      </c>
      <c r="O148" s="26" t="s">
        <v>16</v>
      </c>
      <c r="P148" s="113"/>
      <c r="Q148" s="115"/>
      <c r="R148" s="113"/>
      <c r="S148" s="111"/>
    </row>
    <row r="149" spans="1:22" ht="15.5" hidden="1" thickTop="1" thickBot="1" x14ac:dyDescent="0.4">
      <c r="A149" s="32"/>
      <c r="S149" s="31"/>
    </row>
    <row r="150" spans="1:22" ht="44.5" thickTop="1" x14ac:dyDescent="0.35">
      <c r="A150" s="136" t="s">
        <v>98</v>
      </c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V150" s="28"/>
    </row>
    <row r="151" spans="1:22" ht="29.4" customHeight="1" x14ac:dyDescent="0.35">
      <c r="A151" s="2">
        <v>1</v>
      </c>
      <c r="B151" s="3" t="s">
        <v>17</v>
      </c>
      <c r="C151" s="4" t="s">
        <v>18</v>
      </c>
      <c r="D151" s="5"/>
      <c r="E151" s="5"/>
      <c r="F151" s="6"/>
      <c r="G151" s="48"/>
      <c r="H151" s="49"/>
      <c r="I151" s="49"/>
      <c r="J151" s="50"/>
      <c r="K151" s="51"/>
      <c r="L151" s="51"/>
      <c r="M151" s="75"/>
      <c r="N151" s="51"/>
      <c r="O151" s="51"/>
      <c r="P151" s="75" t="str">
        <f t="shared" ref="P151:P177" si="67">IF(OR(I151="",J151="",N151="",O151=""),"",((J151+O151)-(I151+N151)))</f>
        <v/>
      </c>
      <c r="Q151" s="52" t="str">
        <f t="shared" ref="Q151" si="68">IF(OR(L151="",O151=""),"",IF(O151&lt;L151,"Ahead",IF(O151=L151,"On-Time","Delayed")))</f>
        <v/>
      </c>
      <c r="R151" s="53" t="str">
        <f t="shared" ref="R151:R178" si="69">IF(F151=100%,"Completed",IF(F151=0,"Not Started","In Progress"))</f>
        <v>Not Started</v>
      </c>
      <c r="S151" s="54"/>
      <c r="V151" s="28" t="s">
        <v>38</v>
      </c>
    </row>
    <row r="152" spans="1:22" ht="29.4" customHeight="1" x14ac:dyDescent="0.35">
      <c r="A152" s="24">
        <f>A151+1</f>
        <v>2</v>
      </c>
      <c r="B152" s="16" t="s">
        <v>116</v>
      </c>
      <c r="C152" s="108">
        <f>1/24</f>
        <v>4.1666666666666664E-2</v>
      </c>
      <c r="D152" s="17">
        <v>2.0299999999999998</v>
      </c>
      <c r="E152" s="17">
        <f t="shared" ref="E152" si="70">D152*F152</f>
        <v>0</v>
      </c>
      <c r="F152" s="18"/>
      <c r="G152" s="55">
        <v>46311</v>
      </c>
      <c r="H152" s="56">
        <v>46311</v>
      </c>
      <c r="I152" s="56"/>
      <c r="J152" s="57"/>
      <c r="K152" s="58">
        <v>0</v>
      </c>
      <c r="L152" s="58">
        <f>K152+C152</f>
        <v>4.1666666666666664E-2</v>
      </c>
      <c r="M152" s="76">
        <f>L152-K152</f>
        <v>4.1666666666666664E-2</v>
      </c>
      <c r="N152" s="21"/>
      <c r="O152" s="21"/>
      <c r="P152" s="76" t="str">
        <f t="shared" si="67"/>
        <v/>
      </c>
      <c r="Q152" s="59" t="str">
        <f t="shared" ref="Q152:Q178" si="71">IF(OR(H152="",J152="",L152="",O152=""),"",IF((J152+O152)&lt;(H152+L152),"Ahead",IF((J152+O152)=(H152+L152),"On-Time","Delayed")))</f>
        <v/>
      </c>
      <c r="R152" s="60" t="str">
        <f t="shared" si="69"/>
        <v>Not Started</v>
      </c>
      <c r="S152" s="34" t="s">
        <v>90</v>
      </c>
      <c r="V152" s="28"/>
    </row>
    <row r="153" spans="1:22" ht="29.4" customHeight="1" x14ac:dyDescent="0.35">
      <c r="A153" s="2">
        <v>3</v>
      </c>
      <c r="B153" s="7" t="s">
        <v>19</v>
      </c>
      <c r="C153" s="96">
        <f t="shared" ref="C153:C155" si="72">1/24</f>
        <v>4.1666666666666664E-2</v>
      </c>
      <c r="D153" s="5">
        <f>(C153/$C$47)*100</f>
        <v>2.0408163265306118</v>
      </c>
      <c r="E153" s="5">
        <f>D153*F153</f>
        <v>0</v>
      </c>
      <c r="F153" s="6"/>
      <c r="G153" s="8">
        <v>46311</v>
      </c>
      <c r="H153" s="8">
        <v>46311</v>
      </c>
      <c r="I153" s="8"/>
      <c r="J153" s="9"/>
      <c r="K153" s="10">
        <f>L152</f>
        <v>4.1666666666666664E-2</v>
      </c>
      <c r="L153" s="10">
        <f>K153+C153</f>
        <v>8.3333333333333329E-2</v>
      </c>
      <c r="M153" s="77">
        <f t="shared" ref="M153:M178" si="73">L153-K153</f>
        <v>4.1666666666666664E-2</v>
      </c>
      <c r="N153" s="10"/>
      <c r="O153" s="10"/>
      <c r="P153" s="77" t="str">
        <f t="shared" si="67"/>
        <v/>
      </c>
      <c r="Q153" s="11" t="str">
        <f t="shared" si="71"/>
        <v/>
      </c>
      <c r="R153" s="12" t="str">
        <f t="shared" si="69"/>
        <v>Not Started</v>
      </c>
      <c r="S153" s="61" t="s">
        <v>53</v>
      </c>
      <c r="V153" s="28" t="s">
        <v>39</v>
      </c>
    </row>
    <row r="154" spans="1:22" ht="29.4" customHeight="1" x14ac:dyDescent="0.35">
      <c r="A154" s="2">
        <f t="shared" ref="A154:A168" si="74">A153+1</f>
        <v>4</v>
      </c>
      <c r="B154" s="7" t="s">
        <v>103</v>
      </c>
      <c r="C154" s="96">
        <v>4.1666666666666664E-2</v>
      </c>
      <c r="D154" s="5">
        <f t="shared" ref="D154:D173" si="75">(C154/$C$47)*100</f>
        <v>2.0408163265306118</v>
      </c>
      <c r="E154" s="5">
        <f t="shared" ref="E154:E168" si="76">D154*F154</f>
        <v>0</v>
      </c>
      <c r="F154" s="6"/>
      <c r="G154" s="8">
        <v>46311</v>
      </c>
      <c r="H154" s="8">
        <v>46311</v>
      </c>
      <c r="I154" s="8"/>
      <c r="J154" s="9"/>
      <c r="K154" s="10">
        <f>K152</f>
        <v>0</v>
      </c>
      <c r="L154" s="10">
        <f>K154+C153</f>
        <v>4.1666666666666664E-2</v>
      </c>
      <c r="M154" s="77">
        <f t="shared" si="73"/>
        <v>4.1666666666666664E-2</v>
      </c>
      <c r="N154" s="10"/>
      <c r="O154" s="10"/>
      <c r="P154" s="77" t="str">
        <f t="shared" si="67"/>
        <v/>
      </c>
      <c r="Q154" s="11" t="str">
        <f t="shared" si="71"/>
        <v/>
      </c>
      <c r="R154" s="12" t="str">
        <f t="shared" si="69"/>
        <v>Not Started</v>
      </c>
      <c r="S154" s="33"/>
      <c r="V154" s="28"/>
    </row>
    <row r="155" spans="1:22" ht="29.4" customHeight="1" x14ac:dyDescent="0.35">
      <c r="A155" s="2">
        <f t="shared" si="74"/>
        <v>5</v>
      </c>
      <c r="B155" s="7" t="s">
        <v>21</v>
      </c>
      <c r="C155" s="62">
        <f t="shared" si="72"/>
        <v>4.1666666666666664E-2</v>
      </c>
      <c r="D155" s="5">
        <f t="shared" si="75"/>
        <v>2.0408163265306118</v>
      </c>
      <c r="E155" s="5">
        <f t="shared" si="76"/>
        <v>0</v>
      </c>
      <c r="F155" s="6"/>
      <c r="G155" s="8">
        <v>46311</v>
      </c>
      <c r="H155" s="8">
        <v>46311</v>
      </c>
      <c r="I155" s="8"/>
      <c r="J155" s="9"/>
      <c r="K155" s="10">
        <f>L153</f>
        <v>8.3333333333333329E-2</v>
      </c>
      <c r="L155" s="10">
        <f t="shared" ref="L155:L168" si="77">K155+C155</f>
        <v>0.125</v>
      </c>
      <c r="M155" s="77">
        <f t="shared" si="73"/>
        <v>4.1666666666666671E-2</v>
      </c>
      <c r="N155" s="10"/>
      <c r="O155" s="10"/>
      <c r="P155" s="77" t="str">
        <f t="shared" si="67"/>
        <v/>
      </c>
      <c r="Q155" s="11" t="str">
        <f t="shared" si="71"/>
        <v/>
      </c>
      <c r="R155" s="12" t="str">
        <f t="shared" si="69"/>
        <v>Not Started</v>
      </c>
      <c r="S155" s="33"/>
      <c r="V155" s="28" t="s">
        <v>40</v>
      </c>
    </row>
    <row r="156" spans="1:22" ht="29.4" customHeight="1" x14ac:dyDescent="0.35">
      <c r="A156" s="2">
        <f t="shared" si="74"/>
        <v>6</v>
      </c>
      <c r="B156" s="7" t="s">
        <v>22</v>
      </c>
      <c r="C156" s="62">
        <f>2/24</f>
        <v>8.3333333333333329E-2</v>
      </c>
      <c r="D156" s="5">
        <f t="shared" si="75"/>
        <v>4.0816326530612237</v>
      </c>
      <c r="E156" s="5">
        <f t="shared" si="76"/>
        <v>0</v>
      </c>
      <c r="F156" s="6"/>
      <c r="G156" s="8">
        <v>46311</v>
      </c>
      <c r="H156" s="8">
        <v>46311</v>
      </c>
      <c r="I156" s="8"/>
      <c r="J156" s="9"/>
      <c r="K156" s="10">
        <f>L155</f>
        <v>0.125</v>
      </c>
      <c r="L156" s="10">
        <f t="shared" si="77"/>
        <v>0.20833333333333331</v>
      </c>
      <c r="M156" s="77">
        <f t="shared" si="73"/>
        <v>8.3333333333333315E-2</v>
      </c>
      <c r="N156" s="10"/>
      <c r="O156" s="10"/>
      <c r="P156" s="77" t="str">
        <f t="shared" si="67"/>
        <v/>
      </c>
      <c r="Q156" s="11" t="str">
        <f t="shared" si="71"/>
        <v/>
      </c>
      <c r="R156" s="12" t="str">
        <f t="shared" si="69"/>
        <v>Not Started</v>
      </c>
      <c r="S156" s="33"/>
    </row>
    <row r="157" spans="1:22" ht="29.4" customHeight="1" x14ac:dyDescent="0.35">
      <c r="A157" s="2">
        <f t="shared" si="74"/>
        <v>7</v>
      </c>
      <c r="B157" s="7" t="s">
        <v>23</v>
      </c>
      <c r="C157" s="62">
        <f>4/24</f>
        <v>0.16666666666666666</v>
      </c>
      <c r="D157" s="5">
        <f t="shared" si="75"/>
        <v>8.1632653061224474</v>
      </c>
      <c r="E157" s="5">
        <f t="shared" si="76"/>
        <v>0</v>
      </c>
      <c r="F157" s="6"/>
      <c r="G157" s="8">
        <v>46311</v>
      </c>
      <c r="H157" s="8">
        <v>46311</v>
      </c>
      <c r="I157" s="8"/>
      <c r="J157" s="9"/>
      <c r="K157" s="10">
        <f>L156</f>
        <v>0.20833333333333331</v>
      </c>
      <c r="L157" s="10">
        <f t="shared" si="77"/>
        <v>0.375</v>
      </c>
      <c r="M157" s="77">
        <f t="shared" si="73"/>
        <v>0.16666666666666669</v>
      </c>
      <c r="N157" s="10"/>
      <c r="O157" s="10"/>
      <c r="P157" s="77" t="str">
        <f t="shared" si="67"/>
        <v/>
      </c>
      <c r="Q157" s="11" t="str">
        <f t="shared" si="71"/>
        <v/>
      </c>
      <c r="R157" s="12" t="str">
        <f t="shared" si="69"/>
        <v>Not Started</v>
      </c>
      <c r="S157" s="33"/>
    </row>
    <row r="158" spans="1:22" ht="29.4" customHeight="1" x14ac:dyDescent="0.35">
      <c r="A158" s="2">
        <f t="shared" si="74"/>
        <v>8</v>
      </c>
      <c r="B158" s="7" t="s">
        <v>24</v>
      </c>
      <c r="C158" s="62">
        <f>2/24</f>
        <v>8.3333333333333329E-2</v>
      </c>
      <c r="D158" s="5">
        <f t="shared" si="75"/>
        <v>4.0816326530612237</v>
      </c>
      <c r="E158" s="5">
        <f t="shared" si="76"/>
        <v>0</v>
      </c>
      <c r="F158" s="6"/>
      <c r="G158" s="8">
        <v>46311</v>
      </c>
      <c r="H158" s="8">
        <v>46311</v>
      </c>
      <c r="I158" s="8"/>
      <c r="J158" s="9"/>
      <c r="K158" s="10">
        <f t="shared" ref="K158:K168" si="78">L157</f>
        <v>0.375</v>
      </c>
      <c r="L158" s="10">
        <f t="shared" si="77"/>
        <v>0.45833333333333331</v>
      </c>
      <c r="M158" s="77">
        <f t="shared" si="73"/>
        <v>8.3333333333333315E-2</v>
      </c>
      <c r="N158" s="10"/>
      <c r="O158" s="10"/>
      <c r="P158" s="77" t="str">
        <f t="shared" si="67"/>
        <v/>
      </c>
      <c r="Q158" s="11" t="str">
        <f t="shared" si="71"/>
        <v/>
      </c>
      <c r="R158" s="12" t="str">
        <f t="shared" si="69"/>
        <v>Not Started</v>
      </c>
      <c r="S158" s="33"/>
    </row>
    <row r="159" spans="1:22" ht="29.4" customHeight="1" x14ac:dyDescent="0.35">
      <c r="A159" s="2">
        <f t="shared" si="74"/>
        <v>9</v>
      </c>
      <c r="B159" s="7" t="s">
        <v>25</v>
      </c>
      <c r="C159" s="62">
        <f>2/24</f>
        <v>8.3333333333333329E-2</v>
      </c>
      <c r="D159" s="5">
        <f t="shared" si="75"/>
        <v>4.0816326530612237</v>
      </c>
      <c r="E159" s="5">
        <f t="shared" si="76"/>
        <v>0</v>
      </c>
      <c r="F159" s="6"/>
      <c r="G159" s="8">
        <v>46311</v>
      </c>
      <c r="H159" s="8">
        <v>46311</v>
      </c>
      <c r="I159" s="8"/>
      <c r="J159" s="9"/>
      <c r="K159" s="10">
        <f t="shared" si="78"/>
        <v>0.45833333333333331</v>
      </c>
      <c r="L159" s="10">
        <f t="shared" si="77"/>
        <v>0.54166666666666663</v>
      </c>
      <c r="M159" s="77">
        <f t="shared" si="73"/>
        <v>8.3333333333333315E-2</v>
      </c>
      <c r="N159" s="10"/>
      <c r="O159" s="10"/>
      <c r="P159" s="77" t="str">
        <f t="shared" si="67"/>
        <v/>
      </c>
      <c r="Q159" s="11" t="str">
        <f t="shared" si="71"/>
        <v/>
      </c>
      <c r="R159" s="12" t="str">
        <f t="shared" si="69"/>
        <v>Not Started</v>
      </c>
      <c r="S159" s="33"/>
    </row>
    <row r="160" spans="1:22" ht="29.4" customHeight="1" x14ac:dyDescent="0.35">
      <c r="A160" s="2">
        <f t="shared" si="74"/>
        <v>10</v>
      </c>
      <c r="B160" s="7" t="s">
        <v>26</v>
      </c>
      <c r="C160" s="62">
        <f>2/24</f>
        <v>8.3333333333333329E-2</v>
      </c>
      <c r="D160" s="5">
        <f t="shared" si="75"/>
        <v>4.0816326530612237</v>
      </c>
      <c r="E160" s="5">
        <f t="shared" si="76"/>
        <v>0</v>
      </c>
      <c r="F160" s="6"/>
      <c r="G160" s="8">
        <v>46311</v>
      </c>
      <c r="H160" s="8">
        <v>46311</v>
      </c>
      <c r="I160" s="8"/>
      <c r="J160" s="9"/>
      <c r="K160" s="10">
        <f t="shared" si="78"/>
        <v>0.54166666666666663</v>
      </c>
      <c r="L160" s="10">
        <f t="shared" si="77"/>
        <v>0.625</v>
      </c>
      <c r="M160" s="77">
        <f t="shared" si="73"/>
        <v>8.333333333333337E-2</v>
      </c>
      <c r="N160" s="10"/>
      <c r="O160" s="10"/>
      <c r="P160" s="77" t="str">
        <f t="shared" si="67"/>
        <v/>
      </c>
      <c r="Q160" s="11" t="str">
        <f t="shared" si="71"/>
        <v/>
      </c>
      <c r="R160" s="12" t="str">
        <f t="shared" si="69"/>
        <v>Not Started</v>
      </c>
      <c r="S160" s="33"/>
    </row>
    <row r="161" spans="1:19" ht="29.4" customHeight="1" x14ac:dyDescent="0.35">
      <c r="A161" s="2">
        <f t="shared" si="74"/>
        <v>11</v>
      </c>
      <c r="B161" s="7" t="s">
        <v>27</v>
      </c>
      <c r="C161" s="62">
        <f>5/24</f>
        <v>0.20833333333333334</v>
      </c>
      <c r="D161" s="5">
        <f t="shared" si="75"/>
        <v>10.204081632653059</v>
      </c>
      <c r="E161" s="5">
        <f t="shared" si="76"/>
        <v>0</v>
      </c>
      <c r="F161" s="6"/>
      <c r="G161" s="8">
        <v>46311</v>
      </c>
      <c r="H161" s="8">
        <v>46311</v>
      </c>
      <c r="I161" s="8"/>
      <c r="J161" s="9"/>
      <c r="K161" s="10">
        <f t="shared" si="78"/>
        <v>0.625</v>
      </c>
      <c r="L161" s="10">
        <f t="shared" si="77"/>
        <v>0.83333333333333337</v>
      </c>
      <c r="M161" s="77">
        <f t="shared" si="73"/>
        <v>0.20833333333333337</v>
      </c>
      <c r="N161" s="10"/>
      <c r="O161" s="10"/>
      <c r="P161" s="77" t="str">
        <f t="shared" si="67"/>
        <v/>
      </c>
      <c r="Q161" s="11" t="str">
        <f t="shared" si="71"/>
        <v/>
      </c>
      <c r="R161" s="12" t="str">
        <f t="shared" si="69"/>
        <v>Not Started</v>
      </c>
      <c r="S161" s="33"/>
    </row>
    <row r="162" spans="1:19" ht="29.4" customHeight="1" x14ac:dyDescent="0.35">
      <c r="A162" s="2">
        <f t="shared" si="74"/>
        <v>12</v>
      </c>
      <c r="B162" s="7" t="s">
        <v>55</v>
      </c>
      <c r="C162" s="62">
        <f>2/24</f>
        <v>8.3333333333333329E-2</v>
      </c>
      <c r="D162" s="5">
        <f t="shared" si="75"/>
        <v>4.0816326530612237</v>
      </c>
      <c r="E162" s="5">
        <f t="shared" si="76"/>
        <v>0</v>
      </c>
      <c r="F162" s="6"/>
      <c r="G162" s="8">
        <v>46311</v>
      </c>
      <c r="H162" s="8">
        <v>46311</v>
      </c>
      <c r="I162" s="8"/>
      <c r="J162" s="9"/>
      <c r="K162" s="10">
        <f t="shared" si="78"/>
        <v>0.83333333333333337</v>
      </c>
      <c r="L162" s="10">
        <f t="shared" si="77"/>
        <v>0.91666666666666674</v>
      </c>
      <c r="M162" s="77">
        <f t="shared" si="73"/>
        <v>8.333333333333337E-2</v>
      </c>
      <c r="N162" s="10"/>
      <c r="O162" s="10"/>
      <c r="P162" s="77" t="str">
        <f t="shared" si="67"/>
        <v/>
      </c>
      <c r="Q162" s="11" t="str">
        <f t="shared" si="71"/>
        <v/>
      </c>
      <c r="R162" s="12" t="str">
        <f t="shared" si="69"/>
        <v>Not Started</v>
      </c>
      <c r="S162" s="33"/>
    </row>
    <row r="163" spans="1:19" ht="29.4" customHeight="1" x14ac:dyDescent="0.35">
      <c r="A163" s="2">
        <f t="shared" si="74"/>
        <v>13</v>
      </c>
      <c r="B163" s="7" t="s">
        <v>28</v>
      </c>
      <c r="C163" s="62">
        <f t="shared" ref="C163:C168" si="79">1/24</f>
        <v>4.1666666666666664E-2</v>
      </c>
      <c r="D163" s="5">
        <f t="shared" si="75"/>
        <v>2.0408163265306118</v>
      </c>
      <c r="E163" s="5">
        <f t="shared" si="76"/>
        <v>0</v>
      </c>
      <c r="F163" s="6"/>
      <c r="G163" s="8">
        <v>46311</v>
      </c>
      <c r="H163" s="8">
        <v>46311</v>
      </c>
      <c r="I163" s="8"/>
      <c r="J163" s="9"/>
      <c r="K163" s="10">
        <f t="shared" si="78"/>
        <v>0.91666666666666674</v>
      </c>
      <c r="L163" s="10">
        <f t="shared" si="77"/>
        <v>0.95833333333333337</v>
      </c>
      <c r="M163" s="77">
        <f t="shared" si="73"/>
        <v>4.166666666666663E-2</v>
      </c>
      <c r="N163" s="10"/>
      <c r="O163" s="10"/>
      <c r="P163" s="77" t="str">
        <f t="shared" si="67"/>
        <v/>
      </c>
      <c r="Q163" s="11" t="str">
        <f t="shared" si="71"/>
        <v/>
      </c>
      <c r="R163" s="12" t="str">
        <f t="shared" si="69"/>
        <v>Not Started</v>
      </c>
      <c r="S163" s="33"/>
    </row>
    <row r="164" spans="1:19" ht="29.4" customHeight="1" x14ac:dyDescent="0.35">
      <c r="A164" s="2">
        <f t="shared" si="74"/>
        <v>14</v>
      </c>
      <c r="B164" s="7" t="s">
        <v>104</v>
      </c>
      <c r="C164" s="62">
        <f t="shared" si="79"/>
        <v>4.1666666666666664E-2</v>
      </c>
      <c r="D164" s="5">
        <f t="shared" si="75"/>
        <v>2.0408163265306118</v>
      </c>
      <c r="E164" s="5">
        <f t="shared" si="76"/>
        <v>0</v>
      </c>
      <c r="F164" s="6"/>
      <c r="G164" s="8">
        <v>46311</v>
      </c>
      <c r="H164" s="8">
        <v>46311</v>
      </c>
      <c r="I164" s="8"/>
      <c r="J164" s="9"/>
      <c r="K164" s="10">
        <f t="shared" si="78"/>
        <v>0.95833333333333337</v>
      </c>
      <c r="L164" s="10">
        <f t="shared" si="77"/>
        <v>1</v>
      </c>
      <c r="M164" s="77">
        <f t="shared" si="73"/>
        <v>4.166666666666663E-2</v>
      </c>
      <c r="N164" s="10"/>
      <c r="O164" s="10"/>
      <c r="P164" s="77" t="str">
        <f t="shared" si="67"/>
        <v/>
      </c>
      <c r="Q164" s="11" t="str">
        <f t="shared" si="71"/>
        <v/>
      </c>
      <c r="R164" s="12" t="str">
        <f t="shared" si="69"/>
        <v>Not Started</v>
      </c>
      <c r="S164" s="33"/>
    </row>
    <row r="165" spans="1:19" ht="29.4" customHeight="1" x14ac:dyDescent="0.35">
      <c r="A165" s="2">
        <f t="shared" si="74"/>
        <v>15</v>
      </c>
      <c r="B165" s="7" t="s">
        <v>29</v>
      </c>
      <c r="C165" s="62">
        <f t="shared" si="79"/>
        <v>4.1666666666666664E-2</v>
      </c>
      <c r="D165" s="5">
        <f t="shared" si="75"/>
        <v>2.0408163265306118</v>
      </c>
      <c r="E165" s="5">
        <f t="shared" si="76"/>
        <v>0</v>
      </c>
      <c r="F165" s="6"/>
      <c r="G165" s="8">
        <v>46312</v>
      </c>
      <c r="H165" s="8">
        <v>46312</v>
      </c>
      <c r="I165" s="8"/>
      <c r="J165" s="9"/>
      <c r="K165" s="10">
        <f t="shared" si="78"/>
        <v>1</v>
      </c>
      <c r="L165" s="10">
        <f t="shared" si="77"/>
        <v>1.0416666666666667</v>
      </c>
      <c r="M165" s="77">
        <f t="shared" si="73"/>
        <v>4.1666666666666741E-2</v>
      </c>
      <c r="N165" s="10"/>
      <c r="O165" s="10"/>
      <c r="P165" s="77" t="str">
        <f t="shared" si="67"/>
        <v/>
      </c>
      <c r="Q165" s="11" t="str">
        <f t="shared" si="71"/>
        <v/>
      </c>
      <c r="R165" s="12" t="str">
        <f t="shared" si="69"/>
        <v>Not Started</v>
      </c>
      <c r="S165" s="33"/>
    </row>
    <row r="166" spans="1:19" ht="29.4" customHeight="1" x14ac:dyDescent="0.35">
      <c r="A166" s="2">
        <f t="shared" si="74"/>
        <v>16</v>
      </c>
      <c r="B166" s="7" t="s">
        <v>105</v>
      </c>
      <c r="C166" s="62">
        <f t="shared" si="79"/>
        <v>4.1666666666666664E-2</v>
      </c>
      <c r="D166" s="5">
        <f t="shared" si="75"/>
        <v>2.0408163265306118</v>
      </c>
      <c r="E166" s="5">
        <f t="shared" si="76"/>
        <v>0</v>
      </c>
      <c r="F166" s="6"/>
      <c r="G166" s="8">
        <v>46312</v>
      </c>
      <c r="H166" s="8">
        <v>46312</v>
      </c>
      <c r="I166" s="8"/>
      <c r="J166" s="9"/>
      <c r="K166" s="10">
        <f t="shared" si="78"/>
        <v>1.0416666666666667</v>
      </c>
      <c r="L166" s="10">
        <f t="shared" si="77"/>
        <v>1.0833333333333335</v>
      </c>
      <c r="M166" s="77">
        <f t="shared" si="73"/>
        <v>4.1666666666666741E-2</v>
      </c>
      <c r="N166" s="10"/>
      <c r="O166" s="10"/>
      <c r="P166" s="77" t="str">
        <f t="shared" si="67"/>
        <v/>
      </c>
      <c r="Q166" s="11" t="str">
        <f t="shared" si="71"/>
        <v/>
      </c>
      <c r="R166" s="12" t="str">
        <f t="shared" si="69"/>
        <v>Not Started</v>
      </c>
      <c r="S166" s="33"/>
    </row>
    <row r="167" spans="1:19" ht="29.4" customHeight="1" x14ac:dyDescent="0.35">
      <c r="A167" s="2">
        <f t="shared" si="74"/>
        <v>17</v>
      </c>
      <c r="B167" s="7" t="s">
        <v>31</v>
      </c>
      <c r="C167" s="62">
        <f t="shared" si="79"/>
        <v>4.1666666666666664E-2</v>
      </c>
      <c r="D167" s="5">
        <f t="shared" si="75"/>
        <v>2.0408163265306118</v>
      </c>
      <c r="E167" s="5">
        <f t="shared" si="76"/>
        <v>0</v>
      </c>
      <c r="F167" s="6"/>
      <c r="G167" s="8">
        <v>46312</v>
      </c>
      <c r="H167" s="8">
        <v>46312</v>
      </c>
      <c r="I167" s="8"/>
      <c r="J167" s="9"/>
      <c r="K167" s="10">
        <v>0.16666666666666666</v>
      </c>
      <c r="L167" s="10">
        <f t="shared" si="77"/>
        <v>0.20833333333333331</v>
      </c>
      <c r="M167" s="77">
        <f t="shared" si="73"/>
        <v>4.1666666666666657E-2</v>
      </c>
      <c r="N167" s="10"/>
      <c r="O167" s="10"/>
      <c r="P167" s="77" t="str">
        <f t="shared" si="67"/>
        <v/>
      </c>
      <c r="Q167" s="11" t="str">
        <f t="shared" si="71"/>
        <v/>
      </c>
      <c r="R167" s="12" t="str">
        <f t="shared" si="69"/>
        <v>Not Started</v>
      </c>
      <c r="S167" s="33"/>
    </row>
    <row r="168" spans="1:19" ht="29.4" customHeight="1" x14ac:dyDescent="0.35">
      <c r="A168" s="2">
        <f t="shared" si="74"/>
        <v>18</v>
      </c>
      <c r="B168" s="7" t="s">
        <v>32</v>
      </c>
      <c r="C168" s="62">
        <f t="shared" si="79"/>
        <v>4.1666666666666664E-2</v>
      </c>
      <c r="D168" s="5">
        <f t="shared" si="75"/>
        <v>2.0408163265306118</v>
      </c>
      <c r="E168" s="5">
        <f t="shared" si="76"/>
        <v>0</v>
      </c>
      <c r="F168" s="6"/>
      <c r="G168" s="8">
        <v>46312</v>
      </c>
      <c r="H168" s="8">
        <v>46312</v>
      </c>
      <c r="I168" s="8"/>
      <c r="J168" s="9"/>
      <c r="K168" s="10">
        <f t="shared" si="78"/>
        <v>0.20833333333333331</v>
      </c>
      <c r="L168" s="10">
        <f t="shared" si="77"/>
        <v>0.24999999999999997</v>
      </c>
      <c r="M168" s="77">
        <f t="shared" si="73"/>
        <v>4.1666666666666657E-2</v>
      </c>
      <c r="N168" s="10"/>
      <c r="O168" s="10"/>
      <c r="P168" s="77" t="str">
        <f t="shared" si="67"/>
        <v/>
      </c>
      <c r="Q168" s="11" t="str">
        <f t="shared" si="71"/>
        <v/>
      </c>
      <c r="R168" s="12" t="str">
        <f t="shared" si="69"/>
        <v>Not Started</v>
      </c>
      <c r="S168" s="33"/>
    </row>
    <row r="169" spans="1:19" ht="29.4" customHeight="1" x14ac:dyDescent="0.35">
      <c r="A169" s="24">
        <f>A168+1</f>
        <v>19</v>
      </c>
      <c r="B169" s="16" t="s">
        <v>119</v>
      </c>
      <c r="C169" s="102">
        <f>2/24</f>
        <v>8.3333333333333329E-2</v>
      </c>
      <c r="D169" s="17">
        <f t="shared" si="75"/>
        <v>4.0816326530612237</v>
      </c>
      <c r="E169" s="17">
        <f>D169*F169</f>
        <v>0</v>
      </c>
      <c r="F169" s="18"/>
      <c r="G169" s="19">
        <v>46312</v>
      </c>
      <c r="H169" s="19">
        <v>46312</v>
      </c>
      <c r="I169" s="19"/>
      <c r="J169" s="20"/>
      <c r="K169" s="21">
        <v>0.25</v>
      </c>
      <c r="L169" s="21">
        <v>0.33333333333333331</v>
      </c>
      <c r="M169" s="76">
        <v>8.3333333333333259E-2</v>
      </c>
      <c r="N169" s="21"/>
      <c r="O169" s="21"/>
      <c r="P169" s="76" t="str">
        <f t="shared" si="67"/>
        <v/>
      </c>
      <c r="Q169" s="22" t="str">
        <f t="shared" si="71"/>
        <v/>
      </c>
      <c r="R169" s="23" t="str">
        <f t="shared" si="69"/>
        <v>Not Started</v>
      </c>
      <c r="S169" s="34" t="s">
        <v>90</v>
      </c>
    </row>
    <row r="170" spans="1:19" ht="29.4" customHeight="1" x14ac:dyDescent="0.35">
      <c r="A170" s="2">
        <v>21</v>
      </c>
      <c r="B170" s="7" t="s">
        <v>30</v>
      </c>
      <c r="C170" s="96">
        <v>8.3333333333333329E-2</v>
      </c>
      <c r="D170" s="5">
        <f t="shared" si="75"/>
        <v>4.0816326530612237</v>
      </c>
      <c r="E170" s="5">
        <f t="shared" ref="E170:E173" si="80">D170*F170</f>
        <v>0</v>
      </c>
      <c r="F170" s="6"/>
      <c r="G170" s="8">
        <v>46312</v>
      </c>
      <c r="H170" s="8">
        <v>46312</v>
      </c>
      <c r="I170" s="8"/>
      <c r="J170" s="9"/>
      <c r="K170" s="10">
        <f>L166</f>
        <v>1.0833333333333335</v>
      </c>
      <c r="L170" s="10">
        <f>K170+C169</f>
        <v>1.1666666666666667</v>
      </c>
      <c r="M170" s="77">
        <f t="shared" si="73"/>
        <v>8.3333333333333259E-2</v>
      </c>
      <c r="N170" s="10"/>
      <c r="O170" s="10"/>
      <c r="P170" s="77" t="str">
        <f t="shared" si="67"/>
        <v/>
      </c>
      <c r="Q170" s="11" t="str">
        <f t="shared" si="71"/>
        <v/>
      </c>
      <c r="R170" s="23" t="str">
        <f t="shared" si="69"/>
        <v>Not Started</v>
      </c>
      <c r="S170" s="33"/>
    </row>
    <row r="171" spans="1:19" ht="29.4" customHeight="1" x14ac:dyDescent="0.35">
      <c r="A171" s="2">
        <f t="shared" ref="A171:A178" si="81">A170+1</f>
        <v>22</v>
      </c>
      <c r="B171" s="7" t="s">
        <v>109</v>
      </c>
      <c r="C171" s="96">
        <v>8.3333333333333329E-2</v>
      </c>
      <c r="D171" s="5">
        <f t="shared" si="75"/>
        <v>4.0816326530612237</v>
      </c>
      <c r="E171" s="5">
        <f t="shared" si="80"/>
        <v>0</v>
      </c>
      <c r="F171" s="6"/>
      <c r="G171" s="8">
        <v>46312</v>
      </c>
      <c r="H171" s="8">
        <v>46312</v>
      </c>
      <c r="I171" s="8"/>
      <c r="J171" s="9"/>
      <c r="K171" s="10">
        <f>L169</f>
        <v>0.33333333333333331</v>
      </c>
      <c r="L171" s="10">
        <f>K171+C169</f>
        <v>0.41666666666666663</v>
      </c>
      <c r="M171" s="77">
        <f t="shared" si="73"/>
        <v>8.3333333333333315E-2</v>
      </c>
      <c r="N171" s="10"/>
      <c r="O171" s="10"/>
      <c r="P171" s="77" t="str">
        <f t="shared" si="67"/>
        <v/>
      </c>
      <c r="Q171" s="11" t="str">
        <f t="shared" si="71"/>
        <v/>
      </c>
      <c r="R171" s="12" t="str">
        <f t="shared" si="69"/>
        <v>Not Started</v>
      </c>
      <c r="S171" s="33"/>
    </row>
    <row r="172" spans="1:19" ht="29.4" customHeight="1" x14ac:dyDescent="0.35">
      <c r="A172" s="2">
        <f t="shared" si="81"/>
        <v>23</v>
      </c>
      <c r="B172" s="7" t="s">
        <v>107</v>
      </c>
      <c r="C172" s="62">
        <f>1/24</f>
        <v>4.1666666666666664E-2</v>
      </c>
      <c r="D172" s="5">
        <f t="shared" si="75"/>
        <v>2.0408163265306118</v>
      </c>
      <c r="E172" s="5">
        <f>D172*F172</f>
        <v>0</v>
      </c>
      <c r="F172" s="6"/>
      <c r="G172" s="8">
        <v>46312</v>
      </c>
      <c r="H172" s="8">
        <v>46312</v>
      </c>
      <c r="I172" s="8"/>
      <c r="J172" s="9"/>
      <c r="K172" s="10">
        <f>L171</f>
        <v>0.41666666666666663</v>
      </c>
      <c r="L172" s="10">
        <f t="shared" ref="L172:L173" si="82">K172+C172</f>
        <v>0.45833333333333331</v>
      </c>
      <c r="M172" s="77">
        <f t="shared" si="73"/>
        <v>4.1666666666666685E-2</v>
      </c>
      <c r="N172" s="10"/>
      <c r="O172" s="10"/>
      <c r="P172" s="77" t="str">
        <f t="shared" si="67"/>
        <v/>
      </c>
      <c r="Q172" s="11" t="str">
        <f t="shared" si="71"/>
        <v/>
      </c>
      <c r="R172" s="12" t="str">
        <f t="shared" si="69"/>
        <v>Not Started</v>
      </c>
      <c r="S172" s="61" t="s">
        <v>53</v>
      </c>
    </row>
    <row r="173" spans="1:19" ht="29.4" customHeight="1" x14ac:dyDescent="0.35">
      <c r="A173" s="2">
        <f t="shared" si="81"/>
        <v>24</v>
      </c>
      <c r="B173" s="7" t="s">
        <v>108</v>
      </c>
      <c r="C173" s="62">
        <f>1/24</f>
        <v>4.1666666666666664E-2</v>
      </c>
      <c r="D173" s="5">
        <f t="shared" si="75"/>
        <v>2.0408163265306118</v>
      </c>
      <c r="E173" s="5">
        <f t="shared" si="80"/>
        <v>0</v>
      </c>
      <c r="F173" s="6"/>
      <c r="G173" s="8">
        <v>46312</v>
      </c>
      <c r="H173" s="8">
        <v>46312</v>
      </c>
      <c r="I173" s="8"/>
      <c r="J173" s="9"/>
      <c r="K173" s="10">
        <f t="shared" ref="K173" si="83">L172</f>
        <v>0.45833333333333331</v>
      </c>
      <c r="L173" s="10">
        <f t="shared" si="82"/>
        <v>0.5</v>
      </c>
      <c r="M173" s="77">
        <f t="shared" si="73"/>
        <v>4.1666666666666685E-2</v>
      </c>
      <c r="N173" s="10"/>
      <c r="O173" s="10"/>
      <c r="P173" s="77" t="str">
        <f t="shared" si="67"/>
        <v/>
      </c>
      <c r="Q173" s="11" t="str">
        <f t="shared" si="71"/>
        <v/>
      </c>
      <c r="R173" s="12" t="str">
        <f t="shared" si="69"/>
        <v>Not Started</v>
      </c>
      <c r="S173" s="33"/>
    </row>
    <row r="174" spans="1:19" ht="29.4" customHeight="1" x14ac:dyDescent="0.35">
      <c r="A174" s="24">
        <f>A173+1</f>
        <v>25</v>
      </c>
      <c r="B174" s="16" t="s">
        <v>120</v>
      </c>
      <c r="C174" s="74">
        <f>2/24</f>
        <v>8.3333333333333329E-2</v>
      </c>
      <c r="D174" s="17">
        <f>(C174/$C$47)*100</f>
        <v>4.0816326530612237</v>
      </c>
      <c r="E174" s="17">
        <f t="shared" ref="E174" si="84">D174*F174</f>
        <v>0</v>
      </c>
      <c r="F174" s="18"/>
      <c r="G174" s="19">
        <v>46312</v>
      </c>
      <c r="H174" s="19">
        <v>46312</v>
      </c>
      <c r="I174" s="19"/>
      <c r="J174" s="20"/>
      <c r="K174" s="21">
        <v>1.5000000000000004</v>
      </c>
      <c r="L174" s="21">
        <v>1.5833333333333337</v>
      </c>
      <c r="M174" s="76">
        <v>8.3333333333333259E-2</v>
      </c>
      <c r="N174" s="21"/>
      <c r="O174" s="21"/>
      <c r="P174" s="76" t="str">
        <f t="shared" si="67"/>
        <v/>
      </c>
      <c r="Q174" s="22" t="str">
        <f t="shared" si="71"/>
        <v/>
      </c>
      <c r="R174" s="23" t="str">
        <f t="shared" si="69"/>
        <v>Not Started</v>
      </c>
      <c r="S174" s="34" t="s">
        <v>90</v>
      </c>
    </row>
    <row r="175" spans="1:19" ht="29.4" customHeight="1" x14ac:dyDescent="0.35">
      <c r="A175" s="63">
        <f>A174+1</f>
        <v>26</v>
      </c>
      <c r="B175" s="64" t="s">
        <v>54</v>
      </c>
      <c r="C175" s="65"/>
      <c r="D175" s="66"/>
      <c r="E175" s="66"/>
      <c r="F175" s="67"/>
      <c r="G175" s="68">
        <v>46312</v>
      </c>
      <c r="H175" s="68">
        <v>46312</v>
      </c>
      <c r="I175" s="68"/>
      <c r="J175" s="69"/>
      <c r="K175" s="70"/>
      <c r="L175" s="70"/>
      <c r="M175" s="78">
        <f t="shared" si="73"/>
        <v>0</v>
      </c>
      <c r="N175" s="70"/>
      <c r="O175" s="70"/>
      <c r="P175" s="78" t="str">
        <f t="shared" si="67"/>
        <v/>
      </c>
      <c r="Q175" s="71" t="str">
        <f t="shared" si="71"/>
        <v/>
      </c>
      <c r="R175" s="72" t="str">
        <f t="shared" si="69"/>
        <v>Not Started</v>
      </c>
      <c r="S175" s="73" t="s">
        <v>89</v>
      </c>
    </row>
    <row r="176" spans="1:19" ht="29.4" customHeight="1" x14ac:dyDescent="0.35">
      <c r="A176" s="2">
        <f>A175+1</f>
        <v>27</v>
      </c>
      <c r="B176" s="7" t="s">
        <v>111</v>
      </c>
      <c r="C176" s="62">
        <f>4/24</f>
        <v>0.16666666666666666</v>
      </c>
      <c r="D176" s="5">
        <f>(C176/$C$47)*100</f>
        <v>8.1632653061224474</v>
      </c>
      <c r="E176" s="5">
        <f t="shared" ref="E176:E178" si="85">D176*F176</f>
        <v>0</v>
      </c>
      <c r="F176" s="6"/>
      <c r="G176" s="8">
        <v>46312</v>
      </c>
      <c r="H176" s="8">
        <v>46312</v>
      </c>
      <c r="I176" s="8"/>
      <c r="J176" s="9"/>
      <c r="K176" s="10">
        <f>L175</f>
        <v>0</v>
      </c>
      <c r="L176" s="10">
        <f t="shared" ref="L176:L178" si="86">K176+C176</f>
        <v>0.16666666666666666</v>
      </c>
      <c r="M176" s="77">
        <f t="shared" si="73"/>
        <v>0.16666666666666666</v>
      </c>
      <c r="N176" s="10"/>
      <c r="O176" s="10"/>
      <c r="P176" s="77" t="str">
        <f t="shared" si="67"/>
        <v/>
      </c>
      <c r="Q176" s="11" t="str">
        <f t="shared" si="71"/>
        <v/>
      </c>
      <c r="R176" s="12" t="str">
        <f t="shared" si="69"/>
        <v>Not Started</v>
      </c>
      <c r="S176" s="33"/>
    </row>
    <row r="177" spans="1:19" ht="29.4" customHeight="1" x14ac:dyDescent="0.35">
      <c r="A177" s="2">
        <f>A176+1</f>
        <v>28</v>
      </c>
      <c r="B177" s="7" t="s">
        <v>112</v>
      </c>
      <c r="C177" s="62">
        <f>4/24</f>
        <v>0.16666666666666666</v>
      </c>
      <c r="D177" s="5">
        <f>(C177/$C$47)*100</f>
        <v>8.1632653061224474</v>
      </c>
      <c r="E177" s="5">
        <f t="shared" si="85"/>
        <v>0</v>
      </c>
      <c r="F177" s="6"/>
      <c r="G177" s="8">
        <v>46312</v>
      </c>
      <c r="H177" s="8">
        <v>46312</v>
      </c>
      <c r="I177" s="8"/>
      <c r="J177" s="9"/>
      <c r="K177" s="10">
        <f>L176</f>
        <v>0.16666666666666666</v>
      </c>
      <c r="L177" s="10">
        <f t="shared" si="86"/>
        <v>0.33333333333333331</v>
      </c>
      <c r="M177" s="77">
        <f t="shared" si="73"/>
        <v>0.16666666666666666</v>
      </c>
      <c r="N177" s="10"/>
      <c r="O177" s="10"/>
      <c r="P177" s="77" t="str">
        <f t="shared" si="67"/>
        <v/>
      </c>
      <c r="Q177" s="11" t="str">
        <f t="shared" si="71"/>
        <v/>
      </c>
      <c r="R177" s="12" t="str">
        <f t="shared" si="69"/>
        <v>Not Started</v>
      </c>
      <c r="S177" s="33"/>
    </row>
    <row r="178" spans="1:19" ht="29.4" customHeight="1" x14ac:dyDescent="0.35">
      <c r="A178" s="2">
        <f t="shared" si="81"/>
        <v>29</v>
      </c>
      <c r="B178" s="7" t="s">
        <v>33</v>
      </c>
      <c r="C178" s="62">
        <f>4/24</f>
        <v>0.16666666666666666</v>
      </c>
      <c r="D178" s="5">
        <f>(C178/$C$47)*100</f>
        <v>8.1632653061224474</v>
      </c>
      <c r="E178" s="5">
        <f t="shared" si="85"/>
        <v>0</v>
      </c>
      <c r="F178" s="6"/>
      <c r="G178" s="8">
        <v>46312</v>
      </c>
      <c r="H178" s="8">
        <v>46312</v>
      </c>
      <c r="I178" s="8"/>
      <c r="J178" s="8"/>
      <c r="K178" s="10">
        <f t="shared" ref="K178" si="87">L177</f>
        <v>0.33333333333333331</v>
      </c>
      <c r="L178" s="10">
        <f t="shared" si="86"/>
        <v>0.5</v>
      </c>
      <c r="M178" s="77">
        <f t="shared" si="73"/>
        <v>0.16666666666666669</v>
      </c>
      <c r="N178" s="10"/>
      <c r="O178" s="10"/>
      <c r="P178" s="77" t="str">
        <f>IF(OR(I178="",J178="",N178="",O178=""),"",((J178+O178)-(I178+N178)))</f>
        <v/>
      </c>
      <c r="Q178" s="11" t="str">
        <f t="shared" si="71"/>
        <v/>
      </c>
      <c r="R178" s="12" t="str">
        <f t="shared" si="69"/>
        <v>Not Started</v>
      </c>
      <c r="S178" s="33"/>
    </row>
    <row r="179" spans="1:19" ht="19.5" hidden="1" customHeight="1" x14ac:dyDescent="0.35">
      <c r="A179" s="32"/>
      <c r="C179" s="62">
        <f>SUM(C152:C178)-C174</f>
        <v>2.041666666666667</v>
      </c>
      <c r="D179" s="13">
        <f>SUM(D152:D178)</f>
        <v>104.07081632653055</v>
      </c>
      <c r="E179" s="106">
        <f>SUM(E152:E178)/D179</f>
        <v>0</v>
      </c>
      <c r="F179" s="15" t="s">
        <v>34</v>
      </c>
      <c r="S179" s="31"/>
    </row>
    <row r="180" spans="1:19" ht="4.75" customHeight="1" x14ac:dyDescent="0.35">
      <c r="A180" s="79"/>
      <c r="B180" s="79"/>
      <c r="C180" s="100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s="80" customFormat="1" ht="31" x14ac:dyDescent="0.7">
      <c r="C181" s="101"/>
    </row>
    <row r="182" spans="1:19" s="80" customFormat="1" ht="31" x14ac:dyDescent="0.7">
      <c r="C182" s="101"/>
    </row>
    <row r="183" spans="1:19" s="80" customFormat="1" ht="31" x14ac:dyDescent="0.7">
      <c r="C183" s="101"/>
    </row>
    <row r="184" spans="1:19" s="80" customFormat="1" ht="31" x14ac:dyDescent="0.7">
      <c r="C184" s="101"/>
    </row>
    <row r="185" spans="1:19" s="80" customFormat="1" ht="31" x14ac:dyDescent="0.7">
      <c r="C185" s="101"/>
    </row>
    <row r="186" spans="1:19" s="80" customFormat="1" ht="31" x14ac:dyDescent="0.7">
      <c r="C186" s="101"/>
    </row>
  </sheetData>
  <mergeCells count="82">
    <mergeCell ref="A150:S150"/>
    <mergeCell ref="A48:A49"/>
    <mergeCell ref="B48:B49"/>
    <mergeCell ref="J48:J49"/>
    <mergeCell ref="R48:R49"/>
    <mergeCell ref="S48:S49"/>
    <mergeCell ref="S81:S82"/>
    <mergeCell ref="A114:A115"/>
    <mergeCell ref="B114:B115"/>
    <mergeCell ref="C114:C115"/>
    <mergeCell ref="D114:D115"/>
    <mergeCell ref="E114:E115"/>
    <mergeCell ref="G114:H114"/>
    <mergeCell ref="K114:L114"/>
    <mergeCell ref="D48:D49"/>
    <mergeCell ref="E48:E49"/>
    <mergeCell ref="G48:H48"/>
    <mergeCell ref="I114:J114"/>
    <mergeCell ref="I147:J147"/>
    <mergeCell ref="A51:S51"/>
    <mergeCell ref="A84:S84"/>
    <mergeCell ref="A117:S117"/>
    <mergeCell ref="A81:A82"/>
    <mergeCell ref="B81:B82"/>
    <mergeCell ref="C81:C82"/>
    <mergeCell ref="D81:D82"/>
    <mergeCell ref="E81:E82"/>
    <mergeCell ref="G81:H81"/>
    <mergeCell ref="J81:J82"/>
    <mergeCell ref="K81:L81"/>
    <mergeCell ref="A15:A16"/>
    <mergeCell ref="B15:B16"/>
    <mergeCell ref="C15:C16"/>
    <mergeCell ref="D15:D16"/>
    <mergeCell ref="E15:E16"/>
    <mergeCell ref="A1:S1"/>
    <mergeCell ref="A2:S2"/>
    <mergeCell ref="J4:N4"/>
    <mergeCell ref="A4:B4"/>
    <mergeCell ref="C4:H4"/>
    <mergeCell ref="R4:S4"/>
    <mergeCell ref="O4:Q4"/>
    <mergeCell ref="G15:H15"/>
    <mergeCell ref="R15:R16"/>
    <mergeCell ref="S15:S16"/>
    <mergeCell ref="I15:J15"/>
    <mergeCell ref="K48:L48"/>
    <mergeCell ref="M48:M49"/>
    <mergeCell ref="N48:O48"/>
    <mergeCell ref="P48:P49"/>
    <mergeCell ref="Q48:Q49"/>
    <mergeCell ref="Q15:Q16"/>
    <mergeCell ref="P15:P16"/>
    <mergeCell ref="N15:O15"/>
    <mergeCell ref="M15:M16"/>
    <mergeCell ref="K15:L15"/>
    <mergeCell ref="A18:S18"/>
    <mergeCell ref="C48:C49"/>
    <mergeCell ref="Q81:Q82"/>
    <mergeCell ref="R81:R82"/>
    <mergeCell ref="G147:H147"/>
    <mergeCell ref="K147:L147"/>
    <mergeCell ref="M147:M148"/>
    <mergeCell ref="N147:O147"/>
    <mergeCell ref="R147:R148"/>
    <mergeCell ref="M114:M115"/>
    <mergeCell ref="N114:O114"/>
    <mergeCell ref="M81:M82"/>
    <mergeCell ref="N81:O81"/>
    <mergeCell ref="P81:P82"/>
    <mergeCell ref="A147:A148"/>
    <mergeCell ref="B147:B148"/>
    <mergeCell ref="C147:C148"/>
    <mergeCell ref="D147:D148"/>
    <mergeCell ref="E147:E148"/>
    <mergeCell ref="S147:S148"/>
    <mergeCell ref="P114:P115"/>
    <mergeCell ref="Q114:Q115"/>
    <mergeCell ref="R114:R115"/>
    <mergeCell ref="S114:S115"/>
    <mergeCell ref="P147:P148"/>
    <mergeCell ref="Q147:Q148"/>
  </mergeCells>
  <conditionalFormatting sqref="F1:F1048576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{2DB05303-188C-4B0F-BAF3-40BD0BBD0F88}</x14:id>
        </ext>
      </extLst>
    </cfRule>
  </conditionalFormatting>
  <conditionalFormatting sqref="Q1:Q1048576">
    <cfRule type="notContainsText" dxfId="7" priority="2" operator="notContains" text="Delayed">
      <formula>ISERROR(SEARCH("Delayed",Q1))</formula>
    </cfRule>
    <cfRule type="containsText" dxfId="6" priority="3" operator="containsText" text="Delayed">
      <formula>NOT(ISERROR(SEARCH("Delayed",Q1)))</formula>
    </cfRule>
  </conditionalFormatting>
  <conditionalFormatting sqref="R1:R3 R5:R1048576">
    <cfRule type="containsText" dxfId="5" priority="5" operator="containsText" text="In progress">
      <formula>NOT(ISERROR(SEARCH("In progress",R1)))</formula>
    </cfRule>
    <cfRule type="containsText" dxfId="4" priority="6" operator="containsText" text="Completed - Ontime">
      <formula>NOT(ISERROR(SEARCH("Completed - Ontime",R1)))</formula>
    </cfRule>
    <cfRule type="containsText" dxfId="3" priority="7" operator="containsText" text="Completed - Delayed">
      <formula>NOT(ISERROR(SEARCH("Completed - Delayed",R1)))</formula>
    </cfRule>
    <cfRule type="containsText" dxfId="2" priority="8" operator="containsText" text="Completed">
      <formula>NOT(ISERROR(SEARCH("Completed",R1)))</formula>
    </cfRule>
    <cfRule type="containsText" dxfId="1" priority="10" operator="containsText" text="Completed - Ahead of time">
      <formula>NOT(ISERROR(SEARCH("Completed - Ahead of time",R1)))</formula>
    </cfRule>
  </conditionalFormatting>
  <conditionalFormatting sqref="R1:R1048576">
    <cfRule type="containsText" dxfId="0" priority="1" operator="containsText" text="Not Started">
      <formula>NOT(ISERROR(SEARCH("Not Started",R1)))</formula>
    </cfRule>
  </conditionalFormatting>
  <pageMargins left="0.25" right="0.25" top="0.75" bottom="0.75" header="0.3" footer="0.3"/>
  <pageSetup paperSize="9" scale="40" fitToHeight="0" orientation="landscape" horizontalDpi="300" verticalDpi="300" r:id="rId1"/>
  <rowBreaks count="5" manualBreakCount="5">
    <brk id="14" max="17" man="1"/>
    <brk id="47" max="17" man="1"/>
    <brk id="80" max="17" man="1"/>
    <brk id="113" max="17" man="1"/>
    <brk id="146" max="17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05303-188C-4B0F-BAF3-40BD0BBD0F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8FC7-9288-4C88-A96F-69F4BCEF02E7}">
  <dimension ref="A3:D11"/>
  <sheetViews>
    <sheetView workbookViewId="0"/>
  </sheetViews>
  <sheetFormatPr defaultColWidth="8.6328125" defaultRowHeight="14.5" x14ac:dyDescent="0.35"/>
  <cols>
    <col min="1" max="1" width="20" customWidth="1"/>
    <col min="2" max="2" width="15" customWidth="1"/>
    <col min="3" max="4" width="18" customWidth="1"/>
  </cols>
  <sheetData>
    <row r="3" spans="1:4" ht="18" customHeight="1" x14ac:dyDescent="0.35">
      <c r="A3" s="47" t="s">
        <v>50</v>
      </c>
      <c r="B3" s="47" t="s">
        <v>49</v>
      </c>
      <c r="C3" s="47" t="s">
        <v>51</v>
      </c>
      <c r="D3" s="47" t="s">
        <v>52</v>
      </c>
    </row>
    <row r="4" spans="1:4" x14ac:dyDescent="0.35">
      <c r="A4" s="46" t="s">
        <v>48</v>
      </c>
      <c r="B4" s="45">
        <f>'Shutdown02 Progress'!C46</f>
        <v>4.1666666666666664E-2</v>
      </c>
      <c r="C4" s="44">
        <f>'Shutdown02 Progress'!E47</f>
        <v>0</v>
      </c>
      <c r="D4" s="44">
        <f t="shared" ref="D4:D9" si="0">1-C4</f>
        <v>1</v>
      </c>
    </row>
    <row r="5" spans="1:4" x14ac:dyDescent="0.35">
      <c r="A5" s="46" t="s">
        <v>47</v>
      </c>
      <c r="B5" s="45">
        <f>'Shutdown02 Progress'!C79</f>
        <v>0.29166666666666669</v>
      </c>
      <c r="C5" s="44">
        <f>'Shutdown02 Progress'!E80</f>
        <v>0</v>
      </c>
      <c r="D5" s="44">
        <f t="shared" si="0"/>
        <v>1</v>
      </c>
    </row>
    <row r="6" spans="1:4" x14ac:dyDescent="0.35">
      <c r="A6" s="46" t="s">
        <v>46</v>
      </c>
      <c r="B6" s="45">
        <f>'Shutdown02 Progress'!C112</f>
        <v>4.1666666666666664E-2</v>
      </c>
      <c r="C6" s="44">
        <f>'Shutdown02 Progress'!E113</f>
        <v>0</v>
      </c>
      <c r="D6" s="44">
        <f t="shared" si="0"/>
        <v>1</v>
      </c>
    </row>
    <row r="7" spans="1:4" x14ac:dyDescent="0.35">
      <c r="A7" s="46" t="s">
        <v>45</v>
      </c>
      <c r="B7" s="45">
        <f>'Shutdown02 Progress'!C145</f>
        <v>0.16666666666666666</v>
      </c>
      <c r="C7" s="44">
        <f>'Shutdown02 Progress'!E146</f>
        <v>0</v>
      </c>
      <c r="D7" s="44">
        <f t="shared" si="0"/>
        <v>1</v>
      </c>
    </row>
    <row r="8" spans="1:4" x14ac:dyDescent="0.35">
      <c r="A8" s="46" t="s">
        <v>44</v>
      </c>
      <c r="B8" s="45">
        <f>'Shutdown02 Progress'!C177</f>
        <v>0.16666666666666666</v>
      </c>
      <c r="C8" s="44">
        <f>'Shutdown02 Progress'!E179</f>
        <v>0</v>
      </c>
      <c r="D8" s="44">
        <f t="shared" si="0"/>
        <v>1</v>
      </c>
    </row>
    <row r="9" spans="1:4" x14ac:dyDescent="0.35">
      <c r="A9" s="43" t="s">
        <v>43</v>
      </c>
      <c r="B9" s="42">
        <f>SUM(B4,B5,B6,B7,B8)</f>
        <v>0.70833333333333337</v>
      </c>
      <c r="C9" s="41">
        <f>(B4*C4+B5*C5+B6*C6+B7*C7+B8*C8)/B9</f>
        <v>0</v>
      </c>
      <c r="D9" s="41">
        <f t="shared" si="0"/>
        <v>1</v>
      </c>
    </row>
    <row r="11" spans="1:4" ht="16.5" x14ac:dyDescent="0.35">
      <c r="A11" s="40" t="s">
        <v>42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</vt:lpstr>
      <vt:lpstr>Shutdown02 Progress</vt:lpstr>
      <vt:lpstr>Charts</vt:lpstr>
      <vt:lpstr>Cover!Print_Area</vt:lpstr>
      <vt:lpstr>'Shutdown02 Progress'!Print_Area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mostafa essam</cp:lastModifiedBy>
  <cp:revision>0</cp:revision>
  <cp:lastPrinted>2026-10-08T08:07:52Z</cp:lastPrinted>
  <dcterms:created xsi:type="dcterms:W3CDTF">2026-08-18T11:37:46Z</dcterms:created>
  <dcterms:modified xsi:type="dcterms:W3CDTF">2026-10-10T05:17:18Z</dcterms:modified>
  <dc:language>en-US</dc:language>
</cp:coreProperties>
</file>