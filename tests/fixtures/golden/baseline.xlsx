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  <sheet name="Site Layouts" sheetId="2" state="visible" r:id="rId4"/>
    <sheet name="Data Input" sheetId="3" state="visible" r:id="rId5"/>
  </sheets>
  <definedNames>
    <definedName function="false" hidden="false" localSheetId="0" name="_xlnm.Print_Area" vbProcedure="false">Report!$A1:$BF332</definedName>
    <definedName function="false" hidden="false" localSheetId="1" name="_xlnm.Print_Area" vbProcedure="false">'Site Layouts'!$A1:$M68</definedName>
    <definedName function="false" hidden="false" localSheetId="2" name="_xlnm.Print_Area" vbProcedure="false">'Data Input'!$A1:$P174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<sst xmlns="http://schemas.openxmlformats.org/spreadsheetml/2006/main" count="772" uniqueCount="134">
  <si>
    <t xml:space="preserve">EWR CULVERTS REPLACEMENT PHASE 2</t>
  </si>
  <si>
    <t xml:space="preserve">POSSESSION PROGRESS REPORT  -  PLANNED vs ACTUAL</t>
  </si>
  <si>
    <t xml:space="preserve">Culvert Replacement  –  Shutdown 03</t>
  </si>
  <si>
    <t xml:space="preserve">REPORT GENERATED</t>
  </si>
  <si>
    <t xml:space="preserve">POSSESSION WINDOW</t>
  </si>
  <si>
    <t xml:space="preserve">ELAPSED / REMAINING</t>
  </si>
  <si>
    <t xml:space="preserve">   SUMMARY  -  ALL LOCATIONS</t>
  </si>
  <si>
    <t xml:space="preserve">Location</t>
  </si>
  <si>
    <t xml:space="preserve">Status</t>
  </si>
  <si>
    <t xml:space="preserve">Planned
Finish</t>
  </si>
  <si>
    <t xml:space="preserve">Forecast
Finish</t>
  </si>
  <si>
    <t xml:space="preserve">Time
Variance</t>
  </si>
  <si>
    <t xml:space="preserve">Plan
%</t>
  </si>
  <si>
    <t xml:space="preserve">Actual
%</t>
  </si>
  <si>
    <t xml:space="preserve">Buffer to
Hand-back</t>
  </si>
  <si>
    <t xml:space="preserve">PROGRESS  0 - 100%          coloured bar = actual %          black line = DATA DATE</t>
  </si>
  <si>
    <t xml:space="preserve">C263  –  KM 209+025   (1 cell)</t>
  </si>
  <si>
    <t xml:space="preserve">C265  –  KM 210+525   (3 cells)</t>
  </si>
  <si>
    <t xml:space="preserve">C267  –  KM 212+400   (3 cells)</t>
  </si>
  <si>
    <t xml:space="preserve">C288  –  KM 337+391   (3 cells)</t>
  </si>
  <si>
    <t xml:space="preserve">C289  –  KM 338+491   (3 cells)</t>
  </si>
  <si>
    <t xml:space="preserve">   ALL LOCATIONS</t>
  </si>
  <si>
    <t xml:space="preserve">   SITE LAYOUT  -  SCHEMATIC OVERVIEW</t>
  </si>
  <si>
    <t xml:space="preserve">   EWR CULVERTS REPLACEMENT PHASE 2    -    CULVERT C263    -    KM 209+025    -    1 CELL    -    TSO OTMP / Station 29</t>
  </si>
  <si>
    <t xml:space="preserve">No</t>
  </si>
  <si>
    <t xml:space="preserve">Activity</t>
  </si>
  <si>
    <t xml:space="preserve">Act.
%</t>
  </si>
  <si>
    <t xml:space="preserve">P</t>
  </si>
  <si>
    <t xml:space="preserve">A</t>
  </si>
  <si>
    <t xml:space="preserve">Planned (baseline)</t>
  </si>
  <si>
    <t xml:space="preserve">Black line = report cut-off</t>
  </si>
  <si>
    <t xml:space="preserve">Time Variance = Forecast vs Planned Finish</t>
  </si>
  <si>
    <t xml:space="preserve">Done on time</t>
  </si>
  <si>
    <t xml:space="preserve">Done late</t>
  </si>
  <si>
    <t xml:space="preserve">In progress</t>
  </si>
  <si>
    <t xml:space="preserve">Behind</t>
  </si>
  <si>
    <t xml:space="preserve">Forecast</t>
  </si>
  <si>
    <t xml:space="preserve">   EWR CULVERTS REPLACEMENT PHASE 2    -    CULVERT C265    -    KM 210+525    -    3 CELLS    -    TSO OTMP / Station 29</t>
  </si>
  <si>
    <t xml:space="preserve">   EWR CULVERTS REPLACEMENT PHASE 2    -    CULVERT C267    -    KM 212+400    -    3 CELLS    -    TSO OTMP / Station 29</t>
  </si>
  <si>
    <t xml:space="preserve">   EWR CULVERTS REPLACEMENT PHASE 2    -    CULVERT C288    -    KM 337+391    -    3 CELLS    -    SABATCO OTMP / Station 35</t>
  </si>
  <si>
    <t xml:space="preserve">   EWR CULVERTS REPLACEMENT PHASE 2    -    CULVERT C289    -    KM 338+491    -    3 CELLS    -    SABATCO OTMP / Station 35</t>
  </si>
  <si>
    <t xml:space="preserve">EWR CULVERTS REPLACEMENT PHASE 2  –  SHUTDOWN 03  –  SITE LAYOUTS</t>
  </si>
  <si>
    <t xml:space="preserve">CULVERTS C263 · C265 · C267   –   KM 209+025 / 210+525 / 212+400</t>
  </si>
  <si>
    <t xml:space="preserve">TSO OTMP stabled at Station 29 (KM 223) before the shutdown, then run out to Main Line 1 and Main Line 3. Hofuf lies to the west, Riyadh to the east.</t>
  </si>
  <si>
    <t xml:space="preserve">CULVERTS C288 · C289   –   KM 337+391 / 338+491</t>
  </si>
  <si>
    <t xml:space="preserve">SABATCO OTMP works Line 1 at both culverts (Phase 1), then transfers to Line 3 via Station 35 (Phase 2). Station 33 lies at KM 309.</t>
  </si>
  <si>
    <t xml:space="preserve">Diagrams as supplied with the Shutdown 03 pack. They show OTMP movement phases for each culvert group, not individual culvert cross-sections.</t>
  </si>
  <si>
    <t xml:space="preserve">   SAR  -  POSSESSION PROGRESS REPORT   |   DATA INPUT AND SETTINGS</t>
  </si>
  <si>
    <t xml:space="preserve">   Everything below drives the report. Yellow cells are yours to edit - every other cell is locked and calculated.</t>
  </si>
  <si>
    <t xml:space="preserve">FS</t>
  </si>
  <si>
    <t xml:space="preserve">SS</t>
  </si>
  <si>
    <t xml:space="preserve">PROJECT NAME</t>
  </si>
  <si>
    <t xml:space="preserve">REPORT TITLE</t>
  </si>
  <si>
    <t xml:space="preserve">FF</t>
  </si>
  <si>
    <t xml:space="preserve">SUBTITLE</t>
  </si>
  <si>
    <t xml:space="preserve">PREPARED BY</t>
  </si>
  <si>
    <t xml:space="preserve">SAR IPMC – Planning</t>
  </si>
  <si>
    <t xml:space="preserve">REPORT CUT-OFF</t>
  </si>
  <si>
    <t xml:space="preserve">SF</t>
  </si>
  <si>
    <t xml:space="preserve">   POSSESSION WINDOW</t>
  </si>
  <si>
    <t xml:space="preserve">WINDOW STARTS</t>
  </si>
  <si>
    <t xml:space="preserve">DURATION</t>
  </si>
  <si>
    <t xml:space="preserve">UNIT</t>
  </si>
  <si>
    <t xml:space="preserve">hours</t>
  </si>
  <si>
    <t xml:space="preserve">WINDOW ENDS</t>
  </si>
  <si>
    <t xml:space="preserve">GANTT STARTS</t>
  </si>
  <si>
    <t xml:space="preserve">GANTT SPAN</t>
  </si>
  <si>
    <t xml:space="preserve">ONE COLUMN =</t>
  </si>
  <si>
    <t xml:space="preserve">days</t>
  </si>
  <si>
    <t xml:space="preserve">TOTAL HOURS</t>
  </si>
  <si>
    <t xml:space="preserve">ELAPSED</t>
  </si>
  <si>
    <t xml:space="preserve">LOCATIONS</t>
  </si>
  <si>
    <t xml:space="preserve">ACTIVITIES</t>
  </si>
  <si>
    <t xml:space="preserve">   The Gantt is always 48 columns wide - a shorter span gives finer columns.   Delivered with 5 locations x 26 activities per location; blank an ACTIVITY name to switch that row off.</t>
  </si>
  <si>
    <t xml:space="preserve">   LOCATIONS</t>
  </si>
  <si>
    <t xml:space="preserve">LOCATION NAME</t>
  </si>
  <si>
    <t xml:space="preserve">SCOPE / SUB-TITLE SHOWN ON THE PAGE</t>
  </si>
  <si>
    <t xml:space="preserve">C263  –  KM 209+025</t>
  </si>
  <si>
    <t xml:space="preserve">1 cell  │  Main Line 1 &amp; Main Line 3  │  TSO OTMP from Station 29</t>
  </si>
  <si>
    <t xml:space="preserve">C265  –  KM 210+525</t>
  </si>
  <si>
    <t xml:space="preserve">3 cells  │  Main Line 1 &amp; Main Line 3  │  TSO OTMP from Station 29</t>
  </si>
  <si>
    <t xml:space="preserve">C267  –  KM 212+400</t>
  </si>
  <si>
    <t xml:space="preserve">C288  –  KM 337+391</t>
  </si>
  <si>
    <t xml:space="preserve">3 cells  │  Main Line 1 &amp; Main Line 3  │  SABATCO OTMP from Station 35</t>
  </si>
  <si>
    <t xml:space="preserve">C289  –  KM 338+491</t>
  </si>
  <si>
    <t xml:space="preserve">ACTIVITY  (leave blank to switch the row off)</t>
  </si>
  <si>
    <t xml:space="preserve">Planned
Start</t>
  </si>
  <si>
    <t xml:space="preserve">DUR
(h)</t>
  </si>
  <si>
    <t xml:space="preserve">PRED
No</t>
  </si>
  <si>
    <t xml:space="preserve">REL</t>
  </si>
  <si>
    <t xml:space="preserve">LAG
(h)</t>
  </si>
  <si>
    <t xml:space="preserve">ACT START
Date</t>
  </si>
  <si>
    <t xml:space="preserve">ACT START
Time</t>
  </si>
  <si>
    <t xml:space="preserve">ACT FINISH
Date</t>
  </si>
  <si>
    <t xml:space="preserve">ACT FINISH
Time</t>
  </si>
  <si>
    <t xml:space="preserve">ACT
Dur</t>
  </si>
  <si>
    <t xml:space="preserve">% COMP</t>
  </si>
  <si>
    <t xml:space="preserve">STATUS  (auto)</t>
  </si>
  <si>
    <t xml:space="preserve">REMARKS</t>
  </si>
  <si>
    <t xml:space="preserve">OTMP moves from station 29 to Main Line 1</t>
  </si>
  <si>
    <t xml:space="preserve">Track removal &amp; panel evacuation (Line 1)</t>
  </si>
  <si>
    <t xml:space="preserve">Track removal &amp; panel evacuation (Line 3)</t>
  </si>
  <si>
    <t xml:space="preserve">Ballast removal</t>
  </si>
  <si>
    <t xml:space="preserve">Cutting &amp; removal around existing culvert</t>
  </si>
  <si>
    <t xml:space="preserve">Demolition of existing culvert</t>
  </si>
  <si>
    <t xml:space="preserve">Surface preparation for precast installation</t>
  </si>
  <si>
    <t xml:space="preserve">Installation of new precast culvert</t>
  </si>
  <si>
    <t xml:space="preserve">Apply sealant to the culvert</t>
  </si>
  <si>
    <t xml:space="preserve">Backfill around culvert to subgrade level</t>
  </si>
  <si>
    <t xml:space="preserve">Backfill Subgrade</t>
  </si>
  <si>
    <t xml:space="preserve">First layer of ballast (Line 1)</t>
  </si>
  <si>
    <t xml:space="preserve">First layer of ballast (Line 3)</t>
  </si>
  <si>
    <t xml:space="preserve">Track installation (Line 1)</t>
  </si>
  <si>
    <t xml:space="preserve">Track installation (Line 3)</t>
  </si>
  <si>
    <t xml:space="preserve">1st &amp; 2nd Ballasting / Tamping (Line 1)</t>
  </si>
  <si>
    <t xml:space="preserve">Final Ballasting / Tamping (Line 1)</t>
  </si>
  <si>
    <t xml:space="preserve">OTMP moves from line 1 to Line 3 TK 121+000</t>
  </si>
  <si>
    <t xml:space="preserve">ATW – 2U (out of destressing) (Line 1)</t>
  </si>
  <si>
    <t xml:space="preserve">ATW – 2U (out of destressing) (Line 3)</t>
  </si>
  <si>
    <t xml:space="preserve">1st &amp; 2nd Ballasting / Tamping (Line 3)</t>
  </si>
  <si>
    <t xml:space="preserve">Final Ballasting / Tamping (Line 3)</t>
  </si>
  <si>
    <t xml:space="preserve">OTMP back towards station 29</t>
  </si>
  <si>
    <t xml:space="preserve">Destressing (incl. 2 ATW) (Line 1)</t>
  </si>
  <si>
    <t xml:space="preserve">Destressing (incl. 2 ATW) (Line 3)</t>
  </si>
  <si>
    <t xml:space="preserve">Finishing (grinding, stamp, UT, inspection)</t>
  </si>
  <si>
    <t xml:space="preserve">TOT</t>
  </si>
  <si>
    <t xml:space="preserve">OTMP moves from station 29 to main Line 1</t>
  </si>
  <si>
    <t xml:space="preserve">OTMP moves from line 1 to Line 3</t>
  </si>
  <si>
    <t xml:space="preserve">ATW – 4U (out of destressing) (Line 1)</t>
  </si>
  <si>
    <t xml:space="preserve">ATW – 4U (out of destressing) (Line 3)</t>
  </si>
  <si>
    <t xml:space="preserve">OTMP moves from station 35 to main Line 1</t>
  </si>
  <si>
    <t xml:space="preserve">Track removal &amp; panel evacuation (Line 2)</t>
  </si>
  <si>
    <t xml:space="preserve">OTMP moves from line 1 to line 3 (passing by Station 33)</t>
  </si>
  <si>
    <t xml:space="preserve">OTMP Back towards station 35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</si>
</sst>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dd\-mmm\-yyyy\ hh:mm"/>
    <numFmt numFmtId="166" formatCode="ddd\ dd\-mmm\-yyyy\ hh:mm"/>
    <numFmt numFmtId="167" formatCode="ddd\ dd\-mmm\-yyyy&quot;  &quot;hh:mm"/>
    <numFmt numFmtId="168" formatCode="General"/>
    <numFmt numFmtId="169" formatCode="ddd\ dd\-mmm\ hh:mm"/>
    <numFmt numFmtId="170" formatCode="\+0.0&quot; h behind&quot;;\-0.0&quot; h ahead&quot;;&quot;on time&quot;"/>
    <numFmt numFmtId="171" formatCode="0%"/>
    <numFmt numFmtId="172" formatCode="\+0.0;\-0.0;0.0"/>
    <numFmt numFmtId="173" formatCode="0.0"/>
    <numFmt numFmtId="174" formatCode="0.0&quot; h&quot;"/>
    <numFmt numFmtId="175" formatCode="0"/>
    <numFmt numFmtId="176" formatCode="dd\-mmm\-yyyy"/>
    <numFmt numFmtId="177" formatCode="dd\-mmm\ hh:mm"/>
    <numFmt numFmtId="178" formatCode="hh:mm"/>
    <numFmt numFmtId="179" formatCode="mm/dd/yy\ hh:mm\ AM/PM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1"/>
      <color rgb="FF00778B"/>
      <name val="Calibri"/>
      <family val="0"/>
      <charset val="1"/>
    </font>
    <font>
      <b val="true"/>
      <sz val="10"/>
      <color rgb="FF00778B"/>
      <name val="Calibri"/>
      <family val="0"/>
      <charset val="1"/>
    </font>
    <font>
      <b val="true"/>
      <sz val="10"/>
      <color rgb="FF3D3935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8"/>
      <color rgb="FF3D3935"/>
      <name val="Calibri"/>
      <family val="0"/>
      <charset val="1"/>
    </font>
    <font>
      <sz val="8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b val="true"/>
      <sz val="8"/>
      <name val="Calibri"/>
      <family val="0"/>
      <charset val="1"/>
    </font>
    <font>
      <sz val="7"/>
      <color rgb="FF768692"/>
      <name val="Calibri"/>
      <family val="0"/>
      <charset val="1"/>
    </font>
    <font>
      <b val="true"/>
      <sz val="9"/>
      <color rgb="FF59CBE8"/>
      <name val="Calibri"/>
      <family val="0"/>
      <charset val="1"/>
    </font>
    <font>
      <sz val="8"/>
      <color rgb="FF3D3935"/>
      <name val="Calibri"/>
      <family val="0"/>
      <charset val="1"/>
    </font>
    <font>
      <i val="true"/>
      <sz val="8"/>
      <color rgb="FF768692"/>
      <name val="Calibri"/>
      <family val="0"/>
      <charset val="1"/>
    </font>
    <font>
      <i val="true"/>
      <sz val="9"/>
      <color rgb="FF768692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3D3935"/>
      <name val="Calibri"/>
      <family val="0"/>
      <charset val="1"/>
    </font>
    <font>
      <b val="true"/>
      <sz val="11"/>
      <color rgb="FFCB2C30"/>
      <name val="Calibri"/>
      <family val="0"/>
      <charset val="1"/>
    </font>
    <font>
      <sz val="9"/>
      <color rgb="FF00778B"/>
      <name val="Calibri"/>
      <family val="0"/>
      <charset val="1"/>
    </font>
    <font>
      <b val="true"/>
      <sz val="9"/>
      <color rgb="FF3D3935"/>
      <name val="Calibri"/>
      <family val="0"/>
      <charset val="1"/>
    </font>
    <font>
      <sz val="9"/>
      <color rgb="FF3D3935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3D3935"/>
        <bgColor rgb="FF333300"/>
      </patternFill>
    </fill>
    <fill>
      <patternFill patternType="solid">
        <fgColor rgb="FF00778B"/>
        <bgColor rgb="FF008080"/>
      </patternFill>
    </fill>
    <fill>
      <patternFill patternType="solid">
        <fgColor rgb="FFE6F1F4"/>
        <bgColor rgb="FFEAF7EE"/>
      </patternFill>
    </fill>
    <fill>
      <patternFill patternType="solid">
        <fgColor rgb="FFF2F8F9"/>
        <bgColor rgb="FFEAF7EE"/>
      </patternFill>
    </fill>
    <fill>
      <patternFill patternType="solid">
        <fgColor rgb="FF768692"/>
        <bgColor rgb="FF969696"/>
      </patternFill>
    </fill>
    <fill>
      <patternFill patternType="solid">
        <fgColor rgb="FFC8C9C7"/>
        <bgColor rgb="FFAFBCC1"/>
      </patternFill>
    </fill>
    <fill>
      <patternFill patternType="solid">
        <fgColor rgb="FFCB2C30"/>
        <bgColor rgb="FF993366"/>
      </patternFill>
    </fill>
    <fill>
      <patternFill patternType="solid">
        <fgColor rgb="FF59CBE8"/>
        <bgColor rgb="FF00CCFF"/>
      </patternFill>
    </fill>
    <fill>
      <patternFill patternType="solid">
        <fgColor rgb="FFF1B434"/>
        <bgColor rgb="FFFF9900"/>
      </patternFill>
    </fill>
    <fill>
      <patternFill patternType="solid">
        <fgColor rgb="FFBFE3EA"/>
        <bgColor rgb="FFD5DDE0"/>
      </patternFill>
    </fill>
    <fill>
      <patternFill patternType="solid">
        <fgColor rgb="FFFFF2CC"/>
        <bgColor rgb="FFEAF7EE"/>
      </patternFill>
    </fill>
    <fill>
      <patternFill patternType="solid">
        <fgColor rgb="FF2E8B57"/>
        <bgColor rgb="FF008080"/>
      </patternFill>
    </fill>
    <fill>
      <patternFill patternType="solid">
        <fgColor rgb="FFEAF7EE"/>
        <bgColor rgb="FFE6F1F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5DDE0"/>
      </left>
      <right style="thin">
        <color rgb="FFD5DDE0"/>
      </right>
      <top style="thin">
        <color rgb="FFD5DDE0"/>
      </top>
      <bottom style="thin">
        <color rgb="FFD5DDE0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768692"/>
      </left>
      <right style="thin">
        <color rgb="FF768692"/>
      </right>
      <top/>
      <bottom/>
      <diagonal/>
    </border>
    <border diagonalUp="false" diagonalDown="false">
      <left style="thin">
        <color rgb="FFD5DDE0"/>
      </left>
      <right style="thin">
        <color rgb="FFD5DDE0"/>
      </right>
      <top style="thin">
        <color rgb="FFD5DDE0"/>
      </top>
      <bottom/>
      <diagonal/>
    </border>
    <border diagonalUp="false" diagonalDown="false">
      <left style="thin">
        <color rgb="FFD5DDE0"/>
      </left>
      <right style="thin">
        <color rgb="FFD5DDE0"/>
      </right>
      <top/>
      <bottom style="thin">
        <color rgb="FFD5DD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7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7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6" fillId="1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9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30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30" fillId="1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30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30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1">
    <dxf>
      <border diagonalUp="false" diagonalDown="false">
        <left style="thick"/>
        <right/>
        <top/>
        <bottom/>
        <diagonal/>
      </border>
    </dxf>
    <dxf>
      <fill>
        <patternFill>
          <bgColor rgb="FFCB2C30"/>
        </patternFill>
      </fill>
    </dxf>
    <dxf>
      <fill>
        <patternFill>
          <bgColor rgb="FFCB2C30"/>
        </patternFill>
      </fill>
    </dxf>
    <dxf>
      <fill>
        <patternFill>
          <bgColor rgb="FFF1B434"/>
        </patternFill>
      </fill>
    </dxf>
    <dxf>
      <fill>
        <patternFill>
          <bgColor rgb="FF59CBE8"/>
        </patternFill>
      </fill>
    </dxf>
    <dxf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10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10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10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10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00778B"/>
        </patternFill>
      </fill>
    </dxf>
    <dxf>
      <border diagonalUp="false" diagonalDown="false">
        <left style="hair">
          <color rgb="FFAFBCC1"/>
        </left>
        <right/>
        <top/>
        <bottom/>
        <diagonal/>
      </border>
    </dxf>
    <dxf>
      <border diagonalUp="false" diagonalDown="false">
        <left style="thin">
          <color rgb="FFC8C9C7"/>
        </left>
        <right/>
        <top/>
        <bottom/>
        <diagonal/>
      </border>
    </dxf>
    <dxf>
      <border diagonalUp="false" diagonalDown="false">
        <left style="thick"/>
        <right/>
        <top/>
        <bottom/>
        <diagonal/>
      </border>
    </dxf>
    <dxf>
      <fill>
        <patternFill>
          <bgColor rgb="FFC8C9C7"/>
        </patternFill>
      </fill>
    </dxf>
    <dxf>
      <fill>
        <patternFill>
          <bgColor rgb="FF00778B"/>
        </patternFill>
      </fill>
    </dxf>
    <dxf>
      <fill>
        <patternFill>
          <bgColor rgb="FFCB2C30"/>
        </patternFill>
      </fill>
    </dxf>
    <dxf>
      <fill>
        <patternFill>
          <bgColor rgb="FF59CBE8"/>
        </patternFill>
      </fill>
    </dxf>
    <dxf>
      <fill>
        <patternFill>
          <bgColor rgb="FFF1B434"/>
        </patternFill>
      </fill>
    </dxf>
    <dxf>
      <fill>
        <patternFill>
          <bgColor rgb="FFBFE3EA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CB2C30"/>
        <sz val="8"/>
      </font>
    </dxf>
    <dxf>
      <font>
        <name val="Calibri"/>
        <charset val="1"/>
        <family val="0"/>
        <b val="1"/>
        <color rgb="FF00778B"/>
        <sz val="8"/>
      </font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border diagonalUp="false" diagonalDown="false">
        <left style="hair">
          <color rgb="FFAFBCC1"/>
        </left>
        <right/>
        <top/>
        <bottom/>
        <diagonal/>
      </border>
    </dxf>
    <dxf>
      <border diagonalUp="false" diagonalDown="false">
        <left style="thin">
          <color rgb="FFC8C9C7"/>
        </left>
        <right/>
        <top/>
        <bottom/>
        <diagonal/>
      </border>
    </dxf>
    <dxf>
      <border diagonalUp="false" diagonalDown="false">
        <left style="thick"/>
        <right/>
        <top/>
        <bottom/>
        <diagonal/>
      </border>
    </dxf>
    <dxf>
      <fill>
        <patternFill>
          <bgColor rgb="FFC8C9C7"/>
        </patternFill>
      </fill>
    </dxf>
    <dxf>
      <fill>
        <patternFill>
          <bgColor rgb="FF00778B"/>
        </patternFill>
      </fill>
    </dxf>
    <dxf>
      <fill>
        <patternFill>
          <bgColor rgb="FFCB2C30"/>
        </patternFill>
      </fill>
    </dxf>
    <dxf>
      <fill>
        <patternFill>
          <bgColor rgb="FF59CBE8"/>
        </patternFill>
      </fill>
    </dxf>
    <dxf>
      <fill>
        <patternFill>
          <bgColor rgb="FFF1B434"/>
        </patternFill>
      </fill>
    </dxf>
    <dxf>
      <fill>
        <patternFill>
          <bgColor rgb="FFBFE3EA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CB2C30"/>
        <sz val="8"/>
      </font>
    </dxf>
    <dxf>
      <font>
        <name val="Calibri"/>
        <charset val="1"/>
        <family val="0"/>
        <b val="1"/>
        <color rgb="FF00778B"/>
        <sz val="8"/>
      </font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border diagonalUp="false" diagonalDown="false">
        <left style="hair">
          <color rgb="FFAFBCC1"/>
        </left>
        <right/>
        <top/>
        <bottom/>
        <diagonal/>
      </border>
    </dxf>
    <dxf>
      <border diagonalUp="false" diagonalDown="false">
        <left style="thin">
          <color rgb="FFC8C9C7"/>
        </left>
        <right/>
        <top/>
        <bottom/>
        <diagonal/>
      </border>
    </dxf>
    <dxf>
      <border diagonalUp="false" diagonalDown="false">
        <left style="thick"/>
        <right/>
        <top/>
        <bottom/>
        <diagonal/>
      </border>
    </dxf>
    <dxf>
      <fill>
        <patternFill>
          <bgColor rgb="FFC8C9C7"/>
        </patternFill>
      </fill>
    </dxf>
    <dxf>
      <fill>
        <patternFill>
          <bgColor rgb="FF00778B"/>
        </patternFill>
      </fill>
    </dxf>
    <dxf>
      <fill>
        <patternFill>
          <bgColor rgb="FFCB2C30"/>
        </patternFill>
      </fill>
    </dxf>
    <dxf>
      <fill>
        <patternFill>
          <bgColor rgb="FF59CBE8"/>
        </patternFill>
      </fill>
    </dxf>
    <dxf>
      <fill>
        <patternFill>
          <bgColor rgb="FFF1B434"/>
        </patternFill>
      </fill>
    </dxf>
    <dxf>
      <fill>
        <patternFill>
          <bgColor rgb="FFBFE3EA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CB2C30"/>
        <sz val="8"/>
      </font>
    </dxf>
    <dxf>
      <font>
        <name val="Calibri"/>
        <charset val="1"/>
        <family val="0"/>
        <b val="1"/>
        <color rgb="FF00778B"/>
        <sz val="8"/>
      </font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border diagonalUp="false" diagonalDown="false">
        <left style="hair">
          <color rgb="FFAFBCC1"/>
        </left>
        <right/>
        <top/>
        <bottom/>
        <diagonal/>
      </border>
    </dxf>
    <dxf>
      <border diagonalUp="false" diagonalDown="false">
        <left style="thin">
          <color rgb="FFC8C9C7"/>
        </left>
        <right/>
        <top/>
        <bottom/>
        <diagonal/>
      </border>
    </dxf>
    <dxf>
      <border diagonalUp="false" diagonalDown="false">
        <left style="thick"/>
        <right/>
        <top/>
        <bottom/>
        <diagonal/>
      </border>
    </dxf>
    <dxf>
      <fill>
        <patternFill>
          <bgColor rgb="FFC8C9C7"/>
        </patternFill>
      </fill>
    </dxf>
    <dxf>
      <fill>
        <patternFill>
          <bgColor rgb="FF00778B"/>
        </patternFill>
      </fill>
    </dxf>
    <dxf>
      <fill>
        <patternFill>
          <bgColor rgb="FFCB2C30"/>
        </patternFill>
      </fill>
    </dxf>
    <dxf>
      <fill>
        <patternFill>
          <bgColor rgb="FF59CBE8"/>
        </patternFill>
      </fill>
    </dxf>
    <dxf>
      <fill>
        <patternFill>
          <bgColor rgb="FFF1B434"/>
        </patternFill>
      </fill>
    </dxf>
    <dxf>
      <fill>
        <patternFill>
          <bgColor rgb="FFBFE3EA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CB2C30"/>
        <sz val="8"/>
      </font>
    </dxf>
    <dxf>
      <font>
        <name val="Calibri"/>
        <charset val="1"/>
        <family val="0"/>
        <b val="1"/>
        <color rgb="FF00778B"/>
        <sz val="8"/>
      </font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border diagonalUp="false" diagonalDown="false">
        <left style="hair">
          <color rgb="FFAFBCC1"/>
        </left>
        <right/>
        <top/>
        <bottom/>
        <diagonal/>
      </border>
    </dxf>
    <dxf>
      <border diagonalUp="false" diagonalDown="false">
        <left style="thin">
          <color rgb="FFC8C9C7"/>
        </left>
        <right/>
        <top/>
        <bottom/>
        <diagonal/>
      </border>
    </dxf>
    <dxf>
      <border diagonalUp="false" diagonalDown="false">
        <left style="thick"/>
        <right/>
        <top/>
        <bottom/>
        <diagonal/>
      </border>
    </dxf>
    <dxf>
      <fill>
        <patternFill>
          <bgColor rgb="FFC8C9C7"/>
        </patternFill>
      </fill>
    </dxf>
    <dxf>
      <fill>
        <patternFill>
          <bgColor rgb="FF00778B"/>
        </patternFill>
      </fill>
    </dxf>
    <dxf>
      <fill>
        <patternFill>
          <bgColor rgb="FFCB2C30"/>
        </patternFill>
      </fill>
    </dxf>
    <dxf>
      <fill>
        <patternFill>
          <bgColor rgb="FF59CBE8"/>
        </patternFill>
      </fill>
    </dxf>
    <dxf>
      <fill>
        <patternFill>
          <bgColor rgb="FFF1B434"/>
        </patternFill>
      </fill>
    </dxf>
    <dxf>
      <fill>
        <patternFill>
          <bgColor rgb="FFBFE3EA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8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8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CB2C30"/>
        <sz val="8"/>
      </font>
    </dxf>
    <dxf>
      <font>
        <name val="Calibri"/>
        <charset val="1"/>
        <family val="0"/>
        <b val="1"/>
        <color rgb="FF00778B"/>
        <sz val="8"/>
      </font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778B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F1B434"/>
        </patternFill>
      </fill>
    </dxf>
    <dxf>
      <font>
        <name val="Calibri"/>
        <charset val="1"/>
        <family val="0"/>
        <b val="1"/>
        <color rgb="FF3D3935"/>
        <sz val="9"/>
      </font>
      <fill>
        <patternFill>
          <bgColor rgb="FF59CBE8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B2C3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78B"/>
      <rgbColor rgb="FFC8C9C7"/>
      <rgbColor rgb="FF768692"/>
      <rgbColor rgb="FF9999FF"/>
      <rgbColor rgb="FF993366"/>
      <rgbColor rgb="FFFFF2CC"/>
      <rgbColor rgb="FFE6F1F4"/>
      <rgbColor rgb="FF660066"/>
      <rgbColor rgb="FFFF8080"/>
      <rgbColor rgb="FF0066CC"/>
      <rgbColor rgb="FFD5D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EE"/>
      <rgbColor rgb="FFBFE3EA"/>
      <rgbColor rgb="FFF2F8F9"/>
      <rgbColor rgb="FFAFBCC1"/>
      <rgbColor rgb="FFFF99CC"/>
      <rgbColor rgb="FFCC99FF"/>
      <rgbColor rgb="FFFFCC99"/>
      <rgbColor rgb="FF3366FF"/>
      <rgbColor rgb="FF59CBE8"/>
      <rgbColor rgb="FF99CC00"/>
      <rgbColor rgb="FFF1B434"/>
      <rgbColor rgb="FFFF9900"/>
      <rgbColor rgb="FFFF6600"/>
      <rgbColor rgb="FF666699"/>
      <rgbColor rgb="FF969696"/>
      <rgbColor rgb="FF003366"/>
      <rgbColor rgb="FF2E8B57"/>
      <rgbColor rgb="FF003300"/>
      <rgbColor rgb="FF333300"/>
      <rgbColor rgb="FFCB2C30"/>
      <rgbColor rgb="FF993366"/>
      <rgbColor rgb="FF333399"/>
      <rgbColor rgb="FF3D3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935"/>
    <pageSetUpPr fitToPage="true"/>
  </sheetPr>
  <dimension ref="A1:BP3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29"/>
    <col collapsed="false" customWidth="true" hidden="false" outlineLevel="0" max="3" min="3" style="0" width="15.51"/>
    <col collapsed="false" customWidth="true" hidden="false" outlineLevel="0" max="5" min="4" style="0" width="14.51"/>
    <col collapsed="false" customWidth="true" hidden="false" outlineLevel="0" max="6" min="6" style="0" width="13.5"/>
    <col collapsed="false" customWidth="true" hidden="false" outlineLevel="0" max="8" min="7" style="0" width="7"/>
    <col collapsed="false" customWidth="true" hidden="false" outlineLevel="0" max="9" min="9" style="0" width="10.51"/>
    <col collapsed="false" customWidth="true" hidden="false" outlineLevel="0" max="10" min="10" style="0" width="2.3"/>
    <col collapsed="false" customWidth="true" hidden="false" outlineLevel="0" max="58" min="11" style="0" width="1.65"/>
    <col collapsed="false" customWidth="true" hidden="true" outlineLevel="0" max="68" min="59" style="0" width="11"/>
  </cols>
  <sheetData>
    <row r="1" customFormat="false" ht="15" hidden="true" customHeight="false" outlineLevel="0" collapsed="false">
      <c r="A1" s="1" t="n">
        <f aca="false">'Data Input'!$C$8</f>
        <v>46311</v>
      </c>
      <c r="B1" s="2" t="n">
        <f aca="false">'Data Input'!$N$8</f>
        <v>46313</v>
      </c>
      <c r="C1" s="3" t="n">
        <f aca="false">'Data Input'!$M$5</f>
        <v>46311.75</v>
      </c>
      <c r="D1" s="4" t="n">
        <f aca="false">('Data Input'!$C$9-'Data Input'!$C$8)*24</f>
        <v>0</v>
      </c>
      <c r="E1" s="4" t="n">
        <f aca="false">'Data Input'!$G$9*IF('Data Input'!$K$9="days",24,1)/48</f>
        <v>1</v>
      </c>
      <c r="K1" s="0" t="n">
        <v>0</v>
      </c>
      <c r="L1" s="0" t="n">
        <v>1</v>
      </c>
      <c r="M1" s="0" t="n">
        <v>2</v>
      </c>
      <c r="N1" s="0" t="n">
        <v>3</v>
      </c>
      <c r="O1" s="0" t="n">
        <v>4</v>
      </c>
      <c r="P1" s="0" t="n">
        <v>5</v>
      </c>
      <c r="Q1" s="0" t="n">
        <v>6</v>
      </c>
      <c r="R1" s="0" t="n">
        <v>7</v>
      </c>
      <c r="S1" s="0" t="n">
        <v>8</v>
      </c>
      <c r="T1" s="0" t="n">
        <v>9</v>
      </c>
      <c r="U1" s="0" t="n">
        <v>10</v>
      </c>
      <c r="V1" s="0" t="n">
        <v>11</v>
      </c>
      <c r="W1" s="0" t="n">
        <v>12</v>
      </c>
      <c r="X1" s="0" t="n">
        <v>13</v>
      </c>
      <c r="Y1" s="0" t="n">
        <v>14</v>
      </c>
      <c r="Z1" s="0" t="n">
        <v>15</v>
      </c>
      <c r="AA1" s="0" t="n">
        <v>16</v>
      </c>
      <c r="AB1" s="0" t="n">
        <v>17</v>
      </c>
      <c r="AC1" s="0" t="n">
        <v>18</v>
      </c>
      <c r="AD1" s="0" t="n">
        <v>19</v>
      </c>
      <c r="AE1" s="0" t="n">
        <v>20</v>
      </c>
      <c r="AF1" s="0" t="n">
        <v>21</v>
      </c>
      <c r="AG1" s="0" t="n">
        <v>22</v>
      </c>
      <c r="AH1" s="0" t="n">
        <v>23</v>
      </c>
      <c r="AI1" s="0" t="n">
        <v>24</v>
      </c>
      <c r="AJ1" s="0" t="n">
        <v>25</v>
      </c>
      <c r="AK1" s="0" t="n">
        <v>26</v>
      </c>
      <c r="AL1" s="0" t="n">
        <v>27</v>
      </c>
      <c r="AM1" s="0" t="n">
        <v>28</v>
      </c>
      <c r="AN1" s="0" t="n">
        <v>29</v>
      </c>
      <c r="AO1" s="0" t="n">
        <v>30</v>
      </c>
      <c r="AP1" s="0" t="n">
        <v>31</v>
      </c>
      <c r="AQ1" s="0" t="n">
        <v>32</v>
      </c>
      <c r="AR1" s="0" t="n">
        <v>33</v>
      </c>
      <c r="AS1" s="0" t="n">
        <v>34</v>
      </c>
      <c r="AT1" s="0" t="n">
        <v>35</v>
      </c>
      <c r="AU1" s="0" t="n">
        <v>36</v>
      </c>
      <c r="AV1" s="0" t="n">
        <v>37</v>
      </c>
      <c r="AW1" s="0" t="n">
        <v>38</v>
      </c>
      <c r="AX1" s="0" t="n">
        <v>39</v>
      </c>
      <c r="AY1" s="0" t="n">
        <v>40</v>
      </c>
      <c r="AZ1" s="0" t="n">
        <v>41</v>
      </c>
      <c r="BA1" s="0" t="n">
        <v>42</v>
      </c>
      <c r="BB1" s="0" t="n">
        <v>43</v>
      </c>
      <c r="BC1" s="0" t="n">
        <v>44</v>
      </c>
      <c r="BD1" s="0" t="n">
        <v>45</v>
      </c>
      <c r="BE1" s="0" t="n">
        <v>46</v>
      </c>
      <c r="BF1" s="0" t="n">
        <v>47</v>
      </c>
    </row>
    <row r="2" customFormat="false" ht="24" hidden="false" customHeight="true" outlineLevel="0" collapsed="false"/>
    <row r="3" customFormat="false" ht="21.75" hidden="false" customHeight="true" outlineLevel="0" collapsed="false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customFormat="false" ht="37.5" hidden="false" customHeight="true" outlineLevel="0" collapsed="false">
      <c r="A4" s="6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customFormat="false" ht="24" hidden="false" customHeight="true" outlineLevel="0" collapsed="false">
      <c r="A5" s="7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customFormat="false" ht="6" hidden="false" customHeight="true" outlineLevel="0" collapsed="false"/>
    <row r="7" customFormat="false" ht="21.75" hidden="false" customHeight="true" outlineLevel="0" collapsed="false">
      <c r="A7" s="8" t="s">
        <v>3</v>
      </c>
      <c r="B7" s="8"/>
      <c r="C7" s="8"/>
      <c r="D7" s="9" t="str">
        <f aca="false">TEXT($C$1,"dddd  dd-mmm-yyyy   hh:mm")&amp;"          prepared by  SAR IPMC – Planning"</f>
        <v>Friday  16-Oct-2026   18:00          prepared by  SAR IPMC – Planning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customFormat="false" ht="21.75" hidden="false" customHeight="true" outlineLevel="0" collapsed="false">
      <c r="A8" s="8" t="s">
        <v>4</v>
      </c>
      <c r="B8" s="8"/>
      <c r="C8" s="8"/>
      <c r="D8" s="9" t="str">
        <f aca="false">TEXT($A$1,"dddd dd-mmm-yyyy hh:mm")&amp;"   to   "&amp;TEXT($B$1,"dddd dd-mmm-yyyy hh:mm")&amp;"    =  "&amp;TEXT(($B$1-$A$1)*24,"0.0")&amp;" hours"</f>
        <v>Friday 16-Oct-2026 00:00   to   Sunday 18-Oct-2026 00:00    =  48.0 hours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</row>
    <row r="9" customFormat="false" ht="21.75" hidden="false" customHeight="true" outlineLevel="0" collapsed="false">
      <c r="A9" s="8" t="s">
        <v>5</v>
      </c>
      <c r="B9" s="8"/>
      <c r="C9" s="8"/>
      <c r="D9" s="9" t="str">
        <f aca="false">TEXT(MEDIAN(0,($C$1-$A$1)*24,($B$1-$A$1)*24),"0.0")&amp;" h elapsed          "&amp;TEXT(($B$1-$A$1)*24-MEDIAN(0,($C$1-$A$1)*24,($B$1-$A$1)*24),"0.0")&amp;" h remaining"</f>
        <v>18.0 h elapsed          30.0 h remaining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customFormat="false" ht="9.75" hidden="false" customHeight="true" outlineLevel="0" collapsed="false"/>
    <row r="11" customFormat="false" ht="25.5" hidden="false" customHeight="true" outlineLevel="0" collapsed="false">
      <c r="A11" s="10" t="s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</row>
    <row r="12" customFormat="false" ht="31.5" hidden="false" customHeight="true" outlineLevel="0" collapsed="false">
      <c r="A12" s="11" t="s">
        <v>7</v>
      </c>
      <c r="B12" s="11"/>
      <c r="C12" s="11" t="s">
        <v>8</v>
      </c>
      <c r="D12" s="11" t="s">
        <v>9</v>
      </c>
      <c r="E12" s="11" t="s">
        <v>10</v>
      </c>
      <c r="F12" s="11" t="s">
        <v>11</v>
      </c>
      <c r="G12" s="11" t="s">
        <v>12</v>
      </c>
      <c r="H12" s="11" t="s">
        <v>13</v>
      </c>
      <c r="I12" s="11" t="s">
        <v>14</v>
      </c>
      <c r="K12" s="12" t="s">
        <v>15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customFormat="false" ht="25.5" hidden="false" customHeight="true" outlineLevel="0" collapsed="false">
      <c r="A13" s="13" t="s">
        <v>16</v>
      </c>
      <c r="B13" s="13"/>
      <c r="C13" s="14" t="str">
        <f aca="false">IF(COUNTIF('Data Input'!X27:X52,"!*")&gt;0,"CHECK INPUT",IF(I13&lt;0,"AT RISK",IF(F13&gt;0.1,"BEHIND",IF(I13&lt;2,"TIGHT",IF(F13&lt;-0.1,"AHEAD","ON TIME")))))</f>
        <v>AT RISK</v>
      </c>
      <c r="D13" s="15" t="n">
        <f aca="false">MAX('Data Input'!D27:D52)</f>
        <v>46313.0416666667</v>
      </c>
      <c r="E13" s="16" t="n">
        <f aca="false">'Data Input'!W53</f>
        <v>46313.7916666667</v>
      </c>
      <c r="F13" s="17" t="n">
        <f aca="false">ROUND('Data Input'!X53,1)</f>
        <v>18</v>
      </c>
      <c r="G13" s="18" t="n">
        <f aca="false">IF(SUM('Data Input'!E27:E52)=0,0,SUMPRODUCT('Data Input'!E27:E52,'Data Input'!T27:T52)/SUM('Data Input'!E27:E52))</f>
        <v>0.392156862745098</v>
      </c>
      <c r="H13" s="19" t="n">
        <f aca="false">IF(SUM('Data Input'!E27:E52)=0,0,SUMPRODUCT('Data Input'!E27:E52,'Data Input'!S27:S52)/SUM('Data Input'!E27:E52))</f>
        <v>0</v>
      </c>
      <c r="I13" s="20" t="n">
        <f aca="false">ROUND(('Data Input'!$N$8-E13)*24,1)</f>
        <v>-19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</row>
    <row r="14" customFormat="false" ht="25.5" hidden="false" customHeight="true" outlineLevel="0" collapsed="false">
      <c r="A14" s="13" t="s">
        <v>17</v>
      </c>
      <c r="B14" s="13"/>
      <c r="C14" s="14" t="str">
        <f aca="false">IF(COUNTIF('Data Input'!X57:X82,"!*")&gt;0,"CHECK INPUT",IF(I14&lt;0,"AT RISK",IF(F14&gt;0.1,"BEHIND",IF(I14&lt;2,"TIGHT",IF(F14&lt;-0.1,"AHEAD","ON TIME")))))</f>
        <v>AT RISK</v>
      </c>
      <c r="D14" s="15" t="n">
        <f aca="false">MAX('Data Input'!D57:D82)</f>
        <v>46312.9166666667</v>
      </c>
      <c r="E14" s="16" t="n">
        <f aca="false">'Data Input'!W83</f>
        <v>46313.6666666667</v>
      </c>
      <c r="F14" s="17" t="n">
        <f aca="false">ROUND('Data Input'!X83,1)</f>
        <v>18</v>
      </c>
      <c r="G14" s="18" t="n">
        <f aca="false">IF(SUM('Data Input'!E57:E82)=0,0,SUMPRODUCT('Data Input'!E57:E82,'Data Input'!T57:T82)/SUM('Data Input'!E57:E82))</f>
        <v>0.416666666666667</v>
      </c>
      <c r="H14" s="19" t="n">
        <f aca="false">IF(SUM('Data Input'!E57:E82)=0,0,SUMPRODUCT('Data Input'!E57:E82,'Data Input'!S57:S82)/SUM('Data Input'!E57:E82))</f>
        <v>0</v>
      </c>
      <c r="I14" s="20" t="n">
        <f aca="false">ROUND(('Data Input'!$N$8-E14)*24,1)</f>
        <v>-16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</row>
    <row r="15" customFormat="false" ht="25.5" hidden="false" customHeight="true" outlineLevel="0" collapsed="false">
      <c r="A15" s="13" t="s">
        <v>18</v>
      </c>
      <c r="B15" s="13"/>
      <c r="C15" s="14" t="str">
        <f aca="false">IF(COUNTIF('Data Input'!X87:X112,"!*")&gt;0,"CHECK INPUT",IF(I15&lt;0,"AT RISK",IF(F15&gt;0.1,"BEHIND",IF(I15&lt;2,"TIGHT",IF(F15&lt;-0.1,"AHEAD","ON TIME")))))</f>
        <v>AT RISK</v>
      </c>
      <c r="D15" s="15" t="n">
        <f aca="false">MAX('Data Input'!D87:D112)</f>
        <v>46312.625</v>
      </c>
      <c r="E15" s="16" t="n">
        <f aca="false">'Data Input'!W113</f>
        <v>46313.375</v>
      </c>
      <c r="F15" s="17" t="n">
        <f aca="false">ROUND('Data Input'!X113,1)</f>
        <v>18</v>
      </c>
      <c r="G15" s="18" t="n">
        <f aca="false">IF(SUM('Data Input'!E87:E112)=0,0,SUMPRODUCT('Data Input'!E87:E112,'Data Input'!T87:T112)/SUM('Data Input'!E87:E112))</f>
        <v>0.487804878048781</v>
      </c>
      <c r="H15" s="19" t="n">
        <f aca="false">IF(SUM('Data Input'!E87:E112)=0,0,SUMPRODUCT('Data Input'!E87:E112,'Data Input'!S87:S112)/SUM('Data Input'!E87:E112))</f>
        <v>0</v>
      </c>
      <c r="I15" s="20" t="n">
        <f aca="false">ROUND(('Data Input'!$N$8-E15)*24,1)</f>
        <v>-9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</row>
    <row r="16" customFormat="false" ht="25.5" hidden="false" customHeight="true" outlineLevel="0" collapsed="false">
      <c r="A16" s="13" t="s">
        <v>19</v>
      </c>
      <c r="B16" s="13"/>
      <c r="C16" s="14" t="str">
        <f aca="false">IF(COUNTIF('Data Input'!X117:X142,"!*")&gt;0,"CHECK INPUT",IF(I16&lt;0,"AT RISK",IF(F16&gt;0.1,"BEHIND",IF(I16&lt;2,"TIGHT",IF(F16&lt;-0.1,"AHEAD","ON TIME")))))</f>
        <v>AT RISK</v>
      </c>
      <c r="D16" s="15" t="n">
        <f aca="false">MAX('Data Input'!D117:D142)</f>
        <v>46312.9583333333</v>
      </c>
      <c r="E16" s="16" t="n">
        <f aca="false">'Data Input'!W143</f>
        <v>46313.7083333333</v>
      </c>
      <c r="F16" s="17" t="n">
        <f aca="false">ROUND('Data Input'!X143,1)</f>
        <v>18</v>
      </c>
      <c r="G16" s="18" t="n">
        <f aca="false">IF(SUM('Data Input'!E117:E142)=0,0,SUMPRODUCT('Data Input'!E117:E142,'Data Input'!T117:T142)/SUM('Data Input'!E117:E142))</f>
        <v>0.382978723404255</v>
      </c>
      <c r="H16" s="19" t="n">
        <f aca="false">IF(SUM('Data Input'!E117:E142)=0,0,SUMPRODUCT('Data Input'!E117:E142,'Data Input'!S117:S142)/SUM('Data Input'!E117:E142))</f>
        <v>0</v>
      </c>
      <c r="I16" s="20" t="n">
        <f aca="false">ROUND(('Data Input'!$N$8-E16)*24,1)</f>
        <v>-17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</row>
    <row r="17" customFormat="false" ht="25.5" hidden="false" customHeight="true" outlineLevel="0" collapsed="false">
      <c r="A17" s="13" t="s">
        <v>20</v>
      </c>
      <c r="B17" s="13"/>
      <c r="C17" s="14" t="str">
        <f aca="false">IF(COUNTIF('Data Input'!X147:X172,"!*")&gt;0,"CHECK INPUT",IF(I17&lt;0,"AT RISK",IF(F17&gt;0.1,"BEHIND",IF(I17&lt;2,"TIGHT",IF(F17&lt;-0.1,"AHEAD","ON TIME")))))</f>
        <v>AT RISK</v>
      </c>
      <c r="D17" s="15" t="n">
        <f aca="false">MAX('Data Input'!D147:D172)</f>
        <v>46313.0416666667</v>
      </c>
      <c r="E17" s="16" t="n">
        <f aca="false">'Data Input'!W173</f>
        <v>46313.7916666667</v>
      </c>
      <c r="F17" s="17" t="n">
        <f aca="false">ROUND('Data Input'!X173,1)</f>
        <v>18</v>
      </c>
      <c r="G17" s="18" t="n">
        <f aca="false">IF(SUM('Data Input'!E147:E172)=0,0,SUMPRODUCT('Data Input'!E147:E172,'Data Input'!T147:T172)/SUM('Data Input'!E147:E172))</f>
        <v>0.392156862745098</v>
      </c>
      <c r="H17" s="19" t="n">
        <f aca="false">IF(SUM('Data Input'!E147:E172)=0,0,SUMPRODUCT('Data Input'!E147:E172,'Data Input'!S147:S172)/SUM('Data Input'!E147:E172))</f>
        <v>0</v>
      </c>
      <c r="I17" s="20" t="n">
        <f aca="false">ROUND(('Data Input'!$N$8-E17)*24,1)</f>
        <v>-19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</row>
    <row r="18" customFormat="false" ht="25.5" hidden="false" customHeight="true" outlineLevel="0" collapsed="false">
      <c r="A18" s="22" t="s">
        <v>21</v>
      </c>
      <c r="B18" s="22"/>
      <c r="C18" s="23" t="str">
        <f aca="false">IF(MIN(I13:I17)&lt;0,"AT RISK",IF(MAX(F13:F17)&gt;0.1,"BEHIND",IF(MIN(I13:I17)&lt;2,"TIGHT","ON TIME")))</f>
        <v>AT RISK</v>
      </c>
      <c r="D18" s="24" t="n">
        <f aca="false">MAX(D13:D17)</f>
        <v>46313.0416666667</v>
      </c>
      <c r="E18" s="24" t="n">
        <f aca="false">MAX(E13:E17)</f>
        <v>46313.7916666667</v>
      </c>
      <c r="F18" s="25" t="n">
        <f aca="false">ROUND(MAX(F13:F17),1)</f>
        <v>18</v>
      </c>
      <c r="G18" s="26" t="n">
        <f aca="false">AVERAGE(G13:G17)</f>
        <v>0.41435279872198</v>
      </c>
      <c r="H18" s="26" t="n">
        <f aca="false">AVERAGE(H13:H17)</f>
        <v>0</v>
      </c>
      <c r="I18" s="27" t="n">
        <f aca="false">ROUND(MIN(I13:I17),1)</f>
        <v>-19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</row>
    <row r="20" customFormat="false" ht="19.5" hidden="false" customHeight="true" outlineLevel="0" collapsed="false">
      <c r="A20" s="22" t="s">
        <v>22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</row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7" customFormat="false" ht="25.5" hidden="false" customHeight="true" outlineLevel="0" collapsed="false">
      <c r="A37" s="29" t="s">
        <v>23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</row>
    <row r="38" customFormat="false" ht="21.75" hidden="false" customHeight="true" outlineLevel="0" collapsed="false">
      <c r="A38" s="30" t="str">
        <f aca="false">"   1 cell        ACTUAL  "&amp;TEXT(H13,"0%")&amp;"        PLANNED  "&amp;TEXT(G13,"0%")&amp;"        PLAN FINISH  "&amp;TEXT(D13,"ddd dd-mmm hh:mm")</f>
        <v>   1 cell        ACTUAL  0%        PLANNED  39%        PLAN FINISH  Sun 18-Oct 01:00</v>
      </c>
      <c r="B38" s="30"/>
      <c r="C38" s="30"/>
      <c r="D38" s="30"/>
      <c r="E38" s="30"/>
      <c r="F38" s="30"/>
      <c r="G38" s="30"/>
      <c r="H38" s="30"/>
      <c r="I38" s="30"/>
      <c r="K38" s="31" t="str">
        <f aca="false">C13&amp;"        FORECAST  "&amp;TEXT(E13,"ddd dd-mmm hh:mm")&amp;"        "&amp;TEXT(ABS(F13),"0.0")&amp;IF(F13&gt;0," h LATE",IF(F13&lt;0," h EARLY"," h"))</f>
        <v>AT RISK        FORECAST  Sun 18-Oct 19:00        18.0 h LATE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</row>
    <row r="39" customFormat="false" ht="27.75" hidden="false" customHeight="true" outlineLevel="0" collapsed="false">
      <c r="A39" s="11" t="s">
        <v>24</v>
      </c>
      <c r="B39" s="11" t="s">
        <v>25</v>
      </c>
      <c r="C39" s="11" t="s">
        <v>8</v>
      </c>
      <c r="D39" s="11" t="s">
        <v>9</v>
      </c>
      <c r="E39" s="11" t="s">
        <v>10</v>
      </c>
      <c r="F39" s="11" t="s">
        <v>11</v>
      </c>
      <c r="G39" s="11" t="s">
        <v>12</v>
      </c>
      <c r="H39" s="11" t="s">
        <v>26</v>
      </c>
      <c r="I39" s="11" t="s">
        <v>14</v>
      </c>
      <c r="K39" s="32" t="str">
        <f aca="false">UPPER(TEXT($A$1+($D$1+0*$E$1)/24,"ddd  dd-mmm  hh:mm")&amp;"  to  "&amp;TEXT($A$1+($D$1+24*$E$1)/24,"ddd  dd-mmm  hh:mm"))</f>
        <v>FRI  16-OCT  00:00  TO  SAT  17-OCT  00:00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 t="str">
        <f aca="false">UPPER(TEXT($A$1+($D$1+24*$E$1)/24,"ddd  dd-mmm  hh:mm")&amp;"  to  "&amp;TEXT($A$1+($D$1+48*$E$1)/24,"ddd  dd-mmm  hh:mm"))</f>
        <v>SAT  17-OCT  00:00  TO  SUN  18-OCT  00:00</v>
      </c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</row>
    <row r="40" customFormat="false" ht="15.75" hidden="false" customHeight="true" outlineLevel="0" collapsed="false">
      <c r="K40" s="33" t="str">
        <f aca="false">TEXT($A$1+($D$1+0*$E$1)/24,"hh:mm")&amp;" - "&amp;TEXT($A$1+($D$1+6*$E$1)/24,"hh:mm")</f>
        <v>00:00 - 06:00</v>
      </c>
      <c r="L40" s="33"/>
      <c r="M40" s="33"/>
      <c r="N40" s="33"/>
      <c r="O40" s="33"/>
      <c r="P40" s="33"/>
      <c r="Q40" s="33" t="str">
        <f aca="false">TEXT($A$1+($D$1+6*$E$1)/24,"hh:mm")&amp;" - "&amp;TEXT($A$1+($D$1+12*$E$1)/24,"hh:mm")</f>
        <v>06:00 - 12:00</v>
      </c>
      <c r="R40" s="33"/>
      <c r="S40" s="33"/>
      <c r="T40" s="33"/>
      <c r="U40" s="33"/>
      <c r="V40" s="33"/>
      <c r="W40" s="33" t="str">
        <f aca="false">TEXT($A$1+($D$1+12*$E$1)/24,"hh:mm")&amp;" - "&amp;TEXT($A$1+($D$1+18*$E$1)/24,"hh:mm")</f>
        <v>12:00 - 18:00</v>
      </c>
      <c r="X40" s="33"/>
      <c r="Y40" s="33"/>
      <c r="Z40" s="33"/>
      <c r="AA40" s="33"/>
      <c r="AB40" s="33"/>
      <c r="AC40" s="33" t="str">
        <f aca="false">TEXT($A$1+($D$1+18*$E$1)/24,"hh:mm")&amp;" - "&amp;TEXT($A$1+($D$1+24*$E$1)/24,"hh:mm")</f>
        <v>18:00 - 00:00</v>
      </c>
      <c r="AD40" s="33"/>
      <c r="AE40" s="33"/>
      <c r="AF40" s="33"/>
      <c r="AG40" s="33"/>
      <c r="AH40" s="33"/>
      <c r="AI40" s="33" t="str">
        <f aca="false">TEXT($A$1+($D$1+24*$E$1)/24,"hh:mm")&amp;" - "&amp;TEXT($A$1+($D$1+30*$E$1)/24,"hh:mm")</f>
        <v>00:00 - 06:00</v>
      </c>
      <c r="AJ40" s="33"/>
      <c r="AK40" s="33"/>
      <c r="AL40" s="33"/>
      <c r="AM40" s="33"/>
      <c r="AN40" s="33"/>
      <c r="AO40" s="33" t="str">
        <f aca="false">TEXT($A$1+($D$1+30*$E$1)/24,"hh:mm")&amp;" - "&amp;TEXT($A$1+($D$1+36*$E$1)/24,"hh:mm")</f>
        <v>06:00 - 12:00</v>
      </c>
      <c r="AP40" s="33"/>
      <c r="AQ40" s="33"/>
      <c r="AR40" s="33"/>
      <c r="AS40" s="33"/>
      <c r="AT40" s="33"/>
      <c r="AU40" s="33" t="str">
        <f aca="false">TEXT($A$1+($D$1+36*$E$1)/24,"hh:mm")&amp;" - "&amp;TEXT($A$1+($D$1+42*$E$1)/24,"hh:mm")</f>
        <v>12:00 - 18:00</v>
      </c>
      <c r="AV40" s="33"/>
      <c r="AW40" s="33"/>
      <c r="AX40" s="33"/>
      <c r="AY40" s="33"/>
      <c r="AZ40" s="33"/>
      <c r="BA40" s="33" t="str">
        <f aca="false">TEXT($A$1+($D$1+42*$E$1)/24,"hh:mm")&amp;" - "&amp;TEXT($A$1+($D$1+48*$E$1)/24,"hh:mm")</f>
        <v>18:00 - 00:00</v>
      </c>
      <c r="BB40" s="33"/>
      <c r="BC40" s="33"/>
      <c r="BD40" s="33"/>
      <c r="BE40" s="33"/>
      <c r="BF40" s="33"/>
    </row>
    <row r="41" customFormat="false" ht="11.25" hidden="false" customHeight="true" outlineLevel="0" collapsed="false">
      <c r="A41" s="34" t="n">
        <f aca="false">'Data Input'!A27</f>
        <v>1</v>
      </c>
      <c r="B41" s="35" t="str">
        <f aca="false">'Data Input'!B27</f>
        <v>OTMP moves from station 29 to Main Line 1</v>
      </c>
      <c r="C41" s="36" t="str">
        <f aca="false">'Data Input'!O27</f>
        <v>NOT STARTED - LATE</v>
      </c>
      <c r="D41" s="37" t="n">
        <f aca="false">'Data Input'!D27</f>
        <v>46311.0416666667</v>
      </c>
      <c r="E41" s="38" t="n">
        <f aca="false">'Data Input'!D27+'Data Input'!Y27/24</f>
        <v>46311.7916666667</v>
      </c>
      <c r="F41" s="39" t="n">
        <f aca="false">'Data Input'!Y27</f>
        <v>18</v>
      </c>
      <c r="G41" s="40" t="n">
        <f aca="false">'Data Input'!T27</f>
        <v>1</v>
      </c>
      <c r="H41" s="41" t="n">
        <f aca="false">'Data Input'!S27</f>
        <v>0</v>
      </c>
      <c r="I41" s="21"/>
      <c r="J41" s="42" t="s">
        <v>27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H41" s="4" t="n">
        <f aca="false">('Data Input'!C27-$A$1)*24</f>
        <v>0</v>
      </c>
      <c r="BI41" s="4" t="n">
        <f aca="false">('Data Input'!D27-$A$1)*24</f>
        <v>1</v>
      </c>
      <c r="BJ41" s="0" t="n">
        <v>1</v>
      </c>
      <c r="BO41" s="0" t="n">
        <v>-999</v>
      </c>
      <c r="BP41" s="0" t="n">
        <v>-999</v>
      </c>
    </row>
    <row r="42" customFormat="false" ht="11.25" hidden="false" customHeight="true" outlineLevel="0" collapsed="false">
      <c r="A42" s="34"/>
      <c r="B42" s="34"/>
      <c r="C42" s="36"/>
      <c r="D42" s="37"/>
      <c r="E42" s="37"/>
      <c r="F42" s="39"/>
      <c r="G42" s="40"/>
      <c r="H42" s="40"/>
      <c r="I42" s="40"/>
      <c r="J42" s="42" t="s">
        <v>28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H42" s="4" t="n">
        <f aca="false">IF($BK42="",-999,($BK42-$A$1)*24)</f>
        <v>-999</v>
      </c>
      <c r="BI42" s="4" t="n">
        <f aca="false">IF($BK42="",-999,(IF($BL42&lt;&gt;"",$BL42,IF($C$1&gt;$BK42,$C$1,$BK42+MAX('Data Input'!E27*$BM42,0.5)/24))-$A$1)*24)</f>
        <v>-999</v>
      </c>
      <c r="BJ42" s="4" t="n">
        <f aca="false">IF($BK42="",0,IF($BM42&gt;=1,IF($BN42&lt;=0,2,3),IF($BN42&lt;=0,4,5)))</f>
        <v>0</v>
      </c>
      <c r="BK42" s="0" t="str">
        <f aca="false">IF('Data Input'!Q27="","",'Data Input'!Q27)</f>
        <v/>
      </c>
      <c r="BL42" s="0" t="str">
        <f aca="false">IF('Data Input'!R27="","",'Data Input'!R27)</f>
        <v/>
      </c>
      <c r="BM42" s="4" t="n">
        <f aca="false">'Data Input'!S27</f>
        <v>0</v>
      </c>
      <c r="BN42" s="4" t="n">
        <f aca="false">'Data Input'!Y27</f>
        <v>18</v>
      </c>
      <c r="BO42" s="4" t="n">
        <f aca="false">IF($BM42&gt;=1,-999,MAX(($C$1-$A$1)*24,IF($BK42&lt;&gt;"",$BI42,$BP42-'Data Input'!E27)))</f>
        <v>18</v>
      </c>
      <c r="BP42" s="4" t="n">
        <f aca="false">('Data Input'!D27+'Data Input'!Y27/24-$A$1)*24</f>
        <v>19</v>
      </c>
    </row>
    <row r="43" customFormat="false" ht="11.25" hidden="false" customHeight="true" outlineLevel="0" collapsed="false">
      <c r="A43" s="34" t="n">
        <f aca="false">'Data Input'!A28</f>
        <v>2</v>
      </c>
      <c r="B43" s="35" t="str">
        <f aca="false">'Data Input'!B28</f>
        <v>Track removal &amp; panel evacuation (Line 1)</v>
      </c>
      <c r="C43" s="36" t="str">
        <f aca="false">'Data Input'!O28</f>
        <v>NOT STARTED - LATE</v>
      </c>
      <c r="D43" s="37" t="n">
        <f aca="false">'Data Input'!D28</f>
        <v>46311.0833333333</v>
      </c>
      <c r="E43" s="38" t="n">
        <f aca="false">'Data Input'!D28+'Data Input'!Y28/24</f>
        <v>46311.8333333333</v>
      </c>
      <c r="F43" s="39" t="n">
        <f aca="false">'Data Input'!Y28</f>
        <v>18</v>
      </c>
      <c r="G43" s="40" t="n">
        <f aca="false">'Data Input'!T28</f>
        <v>1</v>
      </c>
      <c r="H43" s="41" t="n">
        <f aca="false">'Data Input'!S28</f>
        <v>0</v>
      </c>
      <c r="I43" s="21"/>
      <c r="J43" s="42" t="s">
        <v>27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H43" s="4" t="n">
        <f aca="false">('Data Input'!C28-$A$1)*24</f>
        <v>1</v>
      </c>
      <c r="BI43" s="4" t="n">
        <f aca="false">('Data Input'!D28-$A$1)*24</f>
        <v>2</v>
      </c>
      <c r="BJ43" s="0" t="n">
        <v>1</v>
      </c>
      <c r="BO43" s="0" t="n">
        <v>-999</v>
      </c>
      <c r="BP43" s="0" t="n">
        <v>-999</v>
      </c>
    </row>
    <row r="44" customFormat="false" ht="11.25" hidden="false" customHeight="true" outlineLevel="0" collapsed="false">
      <c r="A44" s="34"/>
      <c r="B44" s="34"/>
      <c r="C44" s="36"/>
      <c r="D44" s="37"/>
      <c r="E44" s="37"/>
      <c r="F44" s="39"/>
      <c r="G44" s="40"/>
      <c r="H44" s="40"/>
      <c r="I44" s="40"/>
      <c r="J44" s="42" t="s">
        <v>28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H44" s="4" t="n">
        <f aca="false">IF($BK44="",-999,($BK44-$A$1)*24)</f>
        <v>-999</v>
      </c>
      <c r="BI44" s="4" t="n">
        <f aca="false">IF($BK44="",-999,(IF($BL44&lt;&gt;"",$BL44,IF($C$1&gt;$BK44,$C$1,$BK44+MAX('Data Input'!E28*$BM44,0.5)/24))-$A$1)*24)</f>
        <v>-999</v>
      </c>
      <c r="BJ44" s="4" t="n">
        <f aca="false">IF($BK44="",0,IF($BM44&gt;=1,IF($BN44&lt;=0,2,3),IF($BN44&lt;=0,4,5)))</f>
        <v>0</v>
      </c>
      <c r="BK44" s="0" t="str">
        <f aca="false">IF('Data Input'!Q28="","",'Data Input'!Q28)</f>
        <v/>
      </c>
      <c r="BL44" s="0" t="str">
        <f aca="false">IF('Data Input'!R28="","",'Data Input'!R28)</f>
        <v/>
      </c>
      <c r="BM44" s="4" t="n">
        <f aca="false">'Data Input'!S28</f>
        <v>0</v>
      </c>
      <c r="BN44" s="4" t="n">
        <f aca="false">'Data Input'!Y28</f>
        <v>18</v>
      </c>
      <c r="BO44" s="4" t="n">
        <f aca="false">IF($BM44&gt;=1,-999,MAX(($C$1-$A$1)*24,IF($BK44&lt;&gt;"",$BI44,$BP44-'Data Input'!E28)))</f>
        <v>19</v>
      </c>
      <c r="BP44" s="4" t="n">
        <f aca="false">('Data Input'!D28+'Data Input'!Y28/24-$A$1)*24</f>
        <v>20</v>
      </c>
    </row>
    <row r="45" customFormat="false" ht="11.25" hidden="false" customHeight="true" outlineLevel="0" collapsed="false">
      <c r="A45" s="34" t="n">
        <f aca="false">'Data Input'!A29</f>
        <v>3</v>
      </c>
      <c r="B45" s="35" t="str">
        <f aca="false">'Data Input'!B29</f>
        <v>Track removal &amp; panel evacuation (Line 3)</v>
      </c>
      <c r="C45" s="36" t="str">
        <f aca="false">'Data Input'!O29</f>
        <v>NOT STARTED - LATE</v>
      </c>
      <c r="D45" s="37" t="n">
        <f aca="false">'Data Input'!D29</f>
        <v>46311.0416666667</v>
      </c>
      <c r="E45" s="38" t="n">
        <f aca="false">'Data Input'!D29+'Data Input'!Y29/24</f>
        <v>46311.7916666667</v>
      </c>
      <c r="F45" s="39" t="n">
        <f aca="false">'Data Input'!Y29</f>
        <v>18</v>
      </c>
      <c r="G45" s="40" t="n">
        <f aca="false">'Data Input'!T29</f>
        <v>1</v>
      </c>
      <c r="H45" s="41" t="n">
        <f aca="false">'Data Input'!S29</f>
        <v>0</v>
      </c>
      <c r="I45" s="21"/>
      <c r="J45" s="42" t="s">
        <v>27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H45" s="4" t="n">
        <f aca="false">('Data Input'!C29-$A$1)*24</f>
        <v>0</v>
      </c>
      <c r="BI45" s="4" t="n">
        <f aca="false">('Data Input'!D29-$A$1)*24</f>
        <v>1</v>
      </c>
      <c r="BJ45" s="0" t="n">
        <v>1</v>
      </c>
      <c r="BO45" s="0" t="n">
        <v>-999</v>
      </c>
      <c r="BP45" s="0" t="n">
        <v>-999</v>
      </c>
    </row>
    <row r="46" customFormat="false" ht="11.25" hidden="false" customHeight="true" outlineLevel="0" collapsed="false">
      <c r="A46" s="34"/>
      <c r="B46" s="34"/>
      <c r="C46" s="36"/>
      <c r="D46" s="37"/>
      <c r="E46" s="37"/>
      <c r="F46" s="39"/>
      <c r="G46" s="40"/>
      <c r="H46" s="40"/>
      <c r="I46" s="40"/>
      <c r="J46" s="42" t="s">
        <v>28</v>
      </c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H46" s="4" t="n">
        <f aca="false">IF($BK46="",-999,($BK46-$A$1)*24)</f>
        <v>-999</v>
      </c>
      <c r="BI46" s="4" t="n">
        <f aca="false">IF($BK46="",-999,(IF($BL46&lt;&gt;"",$BL46,IF($C$1&gt;$BK46,$C$1,$BK46+MAX('Data Input'!E29*$BM46,0.5)/24))-$A$1)*24)</f>
        <v>-999</v>
      </c>
      <c r="BJ46" s="4" t="n">
        <f aca="false">IF($BK46="",0,IF($BM46&gt;=1,IF($BN46&lt;=0,2,3),IF($BN46&lt;=0,4,5)))</f>
        <v>0</v>
      </c>
      <c r="BK46" s="0" t="str">
        <f aca="false">IF('Data Input'!Q29="","",'Data Input'!Q29)</f>
        <v/>
      </c>
      <c r="BL46" s="0" t="str">
        <f aca="false">IF('Data Input'!R29="","",'Data Input'!R29)</f>
        <v/>
      </c>
      <c r="BM46" s="4" t="n">
        <f aca="false">'Data Input'!S29</f>
        <v>0</v>
      </c>
      <c r="BN46" s="4" t="n">
        <f aca="false">'Data Input'!Y29</f>
        <v>18</v>
      </c>
      <c r="BO46" s="4" t="n">
        <f aca="false">IF($BM46&gt;=1,-999,MAX(($C$1-$A$1)*24,IF($BK46&lt;&gt;"",$BI46,$BP46-'Data Input'!E29)))</f>
        <v>18</v>
      </c>
      <c r="BP46" s="4" t="n">
        <f aca="false">('Data Input'!D29+'Data Input'!Y29/24-$A$1)*24</f>
        <v>19</v>
      </c>
    </row>
    <row r="47" customFormat="false" ht="11.25" hidden="false" customHeight="true" outlineLevel="0" collapsed="false">
      <c r="A47" s="34" t="n">
        <f aca="false">'Data Input'!A30</f>
        <v>4</v>
      </c>
      <c r="B47" s="35" t="str">
        <f aca="false">'Data Input'!B30</f>
        <v>Ballast removal</v>
      </c>
      <c r="C47" s="36" t="str">
        <f aca="false">'Data Input'!O30</f>
        <v>NOT STARTED - LATE</v>
      </c>
      <c r="D47" s="37" t="n">
        <f aca="false">'Data Input'!D30</f>
        <v>46311.0833333333</v>
      </c>
      <c r="E47" s="38" t="n">
        <f aca="false">'Data Input'!D30+'Data Input'!Y30/24</f>
        <v>46311.8333333333</v>
      </c>
      <c r="F47" s="39" t="n">
        <f aca="false">'Data Input'!Y30</f>
        <v>18</v>
      </c>
      <c r="G47" s="40" t="n">
        <f aca="false">'Data Input'!T30</f>
        <v>1</v>
      </c>
      <c r="H47" s="41" t="n">
        <f aca="false">'Data Input'!S30</f>
        <v>0</v>
      </c>
      <c r="I47" s="21"/>
      <c r="J47" s="42" t="s">
        <v>27</v>
      </c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H47" s="4" t="n">
        <f aca="false">('Data Input'!C30-$A$1)*24</f>
        <v>1</v>
      </c>
      <c r="BI47" s="4" t="n">
        <f aca="false">('Data Input'!D30-$A$1)*24</f>
        <v>2</v>
      </c>
      <c r="BJ47" s="0" t="n">
        <v>1</v>
      </c>
      <c r="BO47" s="0" t="n">
        <v>-999</v>
      </c>
      <c r="BP47" s="0" t="n">
        <v>-999</v>
      </c>
    </row>
    <row r="48" customFormat="false" ht="11.25" hidden="false" customHeight="true" outlineLevel="0" collapsed="false">
      <c r="A48" s="34"/>
      <c r="B48" s="34"/>
      <c r="C48" s="36"/>
      <c r="D48" s="37"/>
      <c r="E48" s="37"/>
      <c r="F48" s="39"/>
      <c r="G48" s="40"/>
      <c r="H48" s="40"/>
      <c r="I48" s="40"/>
      <c r="J48" s="42" t="s">
        <v>28</v>
      </c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H48" s="4" t="n">
        <f aca="false">IF($BK48="",-999,($BK48-$A$1)*24)</f>
        <v>-999</v>
      </c>
      <c r="BI48" s="4" t="n">
        <f aca="false">IF($BK48="",-999,(IF($BL48&lt;&gt;"",$BL48,IF($C$1&gt;$BK48,$C$1,$BK48+MAX('Data Input'!E30*$BM48,0.5)/24))-$A$1)*24)</f>
        <v>-999</v>
      </c>
      <c r="BJ48" s="4" t="n">
        <f aca="false">IF($BK48="",0,IF($BM48&gt;=1,IF($BN48&lt;=0,2,3),IF($BN48&lt;=0,4,5)))</f>
        <v>0</v>
      </c>
      <c r="BK48" s="0" t="str">
        <f aca="false">IF('Data Input'!Q30="","",'Data Input'!Q30)</f>
        <v/>
      </c>
      <c r="BL48" s="0" t="str">
        <f aca="false">IF('Data Input'!R30="","",'Data Input'!R30)</f>
        <v/>
      </c>
      <c r="BM48" s="4" t="n">
        <f aca="false">'Data Input'!S30</f>
        <v>0</v>
      </c>
      <c r="BN48" s="4" t="n">
        <f aca="false">'Data Input'!Y30</f>
        <v>18</v>
      </c>
      <c r="BO48" s="4" t="n">
        <f aca="false">IF($BM48&gt;=1,-999,MAX(($C$1-$A$1)*24,IF($BK48&lt;&gt;"",$BI48,$BP48-'Data Input'!E30)))</f>
        <v>19</v>
      </c>
      <c r="BP48" s="4" t="n">
        <f aca="false">('Data Input'!D30+'Data Input'!Y30/24-$A$1)*24</f>
        <v>20</v>
      </c>
    </row>
    <row r="49" customFormat="false" ht="11.25" hidden="false" customHeight="true" outlineLevel="0" collapsed="false">
      <c r="A49" s="34" t="n">
        <f aca="false">'Data Input'!A31</f>
        <v>5</v>
      </c>
      <c r="B49" s="35" t="str">
        <f aca="false">'Data Input'!B31</f>
        <v>Cutting &amp; removal around existing culvert</v>
      </c>
      <c r="C49" s="36" t="str">
        <f aca="false">'Data Input'!O31</f>
        <v>NOT STARTED - LATE</v>
      </c>
      <c r="D49" s="37" t="n">
        <f aca="false">'Data Input'!D31</f>
        <v>46311.2083333333</v>
      </c>
      <c r="E49" s="38" t="n">
        <f aca="false">'Data Input'!D31+'Data Input'!Y31/24</f>
        <v>46311.9583333333</v>
      </c>
      <c r="F49" s="39" t="n">
        <f aca="false">'Data Input'!Y31</f>
        <v>18</v>
      </c>
      <c r="G49" s="40" t="n">
        <f aca="false">'Data Input'!T31</f>
        <v>1</v>
      </c>
      <c r="H49" s="41" t="n">
        <f aca="false">'Data Input'!S31</f>
        <v>0</v>
      </c>
      <c r="I49" s="21"/>
      <c r="J49" s="42" t="s">
        <v>27</v>
      </c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H49" s="4" t="n">
        <f aca="false">('Data Input'!C31-$A$1)*24</f>
        <v>2</v>
      </c>
      <c r="BI49" s="4" t="n">
        <f aca="false">('Data Input'!D31-$A$1)*24</f>
        <v>5</v>
      </c>
      <c r="BJ49" s="0" t="n">
        <v>1</v>
      </c>
      <c r="BO49" s="0" t="n">
        <v>-999</v>
      </c>
      <c r="BP49" s="0" t="n">
        <v>-999</v>
      </c>
    </row>
    <row r="50" customFormat="false" ht="11.25" hidden="false" customHeight="true" outlineLevel="0" collapsed="false">
      <c r="A50" s="34"/>
      <c r="B50" s="34"/>
      <c r="C50" s="36"/>
      <c r="D50" s="37"/>
      <c r="E50" s="37"/>
      <c r="F50" s="39"/>
      <c r="G50" s="40"/>
      <c r="H50" s="40"/>
      <c r="I50" s="40"/>
      <c r="J50" s="42" t="s">
        <v>28</v>
      </c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H50" s="4" t="n">
        <f aca="false">IF($BK50="",-999,($BK50-$A$1)*24)</f>
        <v>-999</v>
      </c>
      <c r="BI50" s="4" t="n">
        <f aca="false">IF($BK50="",-999,(IF($BL50&lt;&gt;"",$BL50,IF($C$1&gt;$BK50,$C$1,$BK50+MAX('Data Input'!E31*$BM50,0.5)/24))-$A$1)*24)</f>
        <v>-999</v>
      </c>
      <c r="BJ50" s="4" t="n">
        <f aca="false">IF($BK50="",0,IF($BM50&gt;=1,IF($BN50&lt;=0,2,3),IF($BN50&lt;=0,4,5)))</f>
        <v>0</v>
      </c>
      <c r="BK50" s="0" t="str">
        <f aca="false">IF('Data Input'!Q31="","",'Data Input'!Q31)</f>
        <v/>
      </c>
      <c r="BL50" s="0" t="str">
        <f aca="false">IF('Data Input'!R31="","",'Data Input'!R31)</f>
        <v/>
      </c>
      <c r="BM50" s="4" t="n">
        <f aca="false">'Data Input'!S31</f>
        <v>0</v>
      </c>
      <c r="BN50" s="4" t="n">
        <f aca="false">'Data Input'!Y31</f>
        <v>18</v>
      </c>
      <c r="BO50" s="4" t="n">
        <f aca="false">IF($BM50&gt;=1,-999,MAX(($C$1-$A$1)*24,IF($BK50&lt;&gt;"",$BI50,$BP50-'Data Input'!E31)))</f>
        <v>20</v>
      </c>
      <c r="BP50" s="4" t="n">
        <f aca="false">('Data Input'!D31+'Data Input'!Y31/24-$A$1)*24</f>
        <v>23</v>
      </c>
    </row>
    <row r="51" customFormat="false" ht="11.25" hidden="false" customHeight="true" outlineLevel="0" collapsed="false">
      <c r="A51" s="34" t="n">
        <f aca="false">'Data Input'!A32</f>
        <v>6</v>
      </c>
      <c r="B51" s="35" t="str">
        <f aca="false">'Data Input'!B32</f>
        <v>Demolition of existing culvert</v>
      </c>
      <c r="C51" s="36" t="str">
        <f aca="false">'Data Input'!O32</f>
        <v>NOT STARTED - LATE</v>
      </c>
      <c r="D51" s="37" t="n">
        <f aca="false">'Data Input'!D32</f>
        <v>46311.375</v>
      </c>
      <c r="E51" s="38" t="n">
        <f aca="false">'Data Input'!D32+'Data Input'!Y32/24</f>
        <v>46312.125</v>
      </c>
      <c r="F51" s="39" t="n">
        <f aca="false">'Data Input'!Y32</f>
        <v>18</v>
      </c>
      <c r="G51" s="40" t="n">
        <f aca="false">'Data Input'!T32</f>
        <v>1</v>
      </c>
      <c r="H51" s="41" t="n">
        <f aca="false">'Data Input'!S32</f>
        <v>0</v>
      </c>
      <c r="I51" s="21"/>
      <c r="J51" s="42" t="s">
        <v>27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H51" s="4" t="n">
        <f aca="false">('Data Input'!C32-$A$1)*24</f>
        <v>5</v>
      </c>
      <c r="BI51" s="4" t="n">
        <f aca="false">('Data Input'!D32-$A$1)*24</f>
        <v>9</v>
      </c>
      <c r="BJ51" s="0" t="n">
        <v>1</v>
      </c>
      <c r="BO51" s="0" t="n">
        <v>-999</v>
      </c>
      <c r="BP51" s="0" t="n">
        <v>-999</v>
      </c>
    </row>
    <row r="52" customFormat="false" ht="11.25" hidden="false" customHeight="true" outlineLevel="0" collapsed="false">
      <c r="A52" s="34"/>
      <c r="B52" s="34"/>
      <c r="C52" s="36"/>
      <c r="D52" s="37"/>
      <c r="E52" s="37"/>
      <c r="F52" s="39"/>
      <c r="G52" s="40"/>
      <c r="H52" s="40"/>
      <c r="I52" s="40"/>
      <c r="J52" s="42" t="s">
        <v>28</v>
      </c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H52" s="4" t="n">
        <f aca="false">IF($BK52="",-999,($BK52-$A$1)*24)</f>
        <v>-999</v>
      </c>
      <c r="BI52" s="4" t="n">
        <f aca="false">IF($BK52="",-999,(IF($BL52&lt;&gt;"",$BL52,IF($C$1&gt;$BK52,$C$1,$BK52+MAX('Data Input'!E32*$BM52,0.5)/24))-$A$1)*24)</f>
        <v>-999</v>
      </c>
      <c r="BJ52" s="4" t="n">
        <f aca="false">IF($BK52="",0,IF($BM52&gt;=1,IF($BN52&lt;=0,2,3),IF($BN52&lt;=0,4,5)))</f>
        <v>0</v>
      </c>
      <c r="BK52" s="0" t="str">
        <f aca="false">IF('Data Input'!Q32="","",'Data Input'!Q32)</f>
        <v/>
      </c>
      <c r="BL52" s="0" t="str">
        <f aca="false">IF('Data Input'!R32="","",'Data Input'!R32)</f>
        <v/>
      </c>
      <c r="BM52" s="4" t="n">
        <f aca="false">'Data Input'!S32</f>
        <v>0</v>
      </c>
      <c r="BN52" s="4" t="n">
        <f aca="false">'Data Input'!Y32</f>
        <v>18</v>
      </c>
      <c r="BO52" s="4" t="n">
        <f aca="false">IF($BM52&gt;=1,-999,MAX(($C$1-$A$1)*24,IF($BK52&lt;&gt;"",$BI52,$BP52-'Data Input'!E32)))</f>
        <v>23</v>
      </c>
      <c r="BP52" s="4" t="n">
        <f aca="false">('Data Input'!D32+'Data Input'!Y32/24-$A$1)*24</f>
        <v>27</v>
      </c>
    </row>
    <row r="53" customFormat="false" ht="11.25" hidden="false" customHeight="true" outlineLevel="0" collapsed="false">
      <c r="A53" s="34" t="n">
        <f aca="false">'Data Input'!A33</f>
        <v>7</v>
      </c>
      <c r="B53" s="35" t="str">
        <f aca="false">'Data Input'!B33</f>
        <v>Surface preparation for precast installation</v>
      </c>
      <c r="C53" s="36" t="str">
        <f aca="false">'Data Input'!O33</f>
        <v>NOT STARTED - LATE</v>
      </c>
      <c r="D53" s="37" t="n">
        <f aca="false">'Data Input'!D33</f>
        <v>46311.4583333333</v>
      </c>
      <c r="E53" s="38" t="n">
        <f aca="false">'Data Input'!D33+'Data Input'!Y33/24</f>
        <v>46312.2083333333</v>
      </c>
      <c r="F53" s="39" t="n">
        <f aca="false">'Data Input'!Y33</f>
        <v>18</v>
      </c>
      <c r="G53" s="40" t="n">
        <f aca="false">'Data Input'!T33</f>
        <v>1</v>
      </c>
      <c r="H53" s="41" t="n">
        <f aca="false">'Data Input'!S33</f>
        <v>0</v>
      </c>
      <c r="I53" s="21"/>
      <c r="J53" s="42" t="s">
        <v>27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H53" s="4" t="n">
        <f aca="false">('Data Input'!C33-$A$1)*24</f>
        <v>9</v>
      </c>
      <c r="BI53" s="4" t="n">
        <f aca="false">('Data Input'!D33-$A$1)*24</f>
        <v>11</v>
      </c>
      <c r="BJ53" s="0" t="n">
        <v>1</v>
      </c>
      <c r="BO53" s="0" t="n">
        <v>-999</v>
      </c>
      <c r="BP53" s="0" t="n">
        <v>-999</v>
      </c>
    </row>
    <row r="54" customFormat="false" ht="11.25" hidden="false" customHeight="true" outlineLevel="0" collapsed="false">
      <c r="A54" s="34"/>
      <c r="B54" s="34"/>
      <c r="C54" s="36"/>
      <c r="D54" s="37"/>
      <c r="E54" s="37"/>
      <c r="F54" s="39"/>
      <c r="G54" s="40"/>
      <c r="H54" s="40"/>
      <c r="I54" s="40"/>
      <c r="J54" s="42" t="s">
        <v>28</v>
      </c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H54" s="4" t="n">
        <f aca="false">IF($BK54="",-999,($BK54-$A$1)*24)</f>
        <v>-999</v>
      </c>
      <c r="BI54" s="4" t="n">
        <f aca="false">IF($BK54="",-999,(IF($BL54&lt;&gt;"",$BL54,IF($C$1&gt;$BK54,$C$1,$BK54+MAX('Data Input'!E33*$BM54,0.5)/24))-$A$1)*24)</f>
        <v>-999</v>
      </c>
      <c r="BJ54" s="4" t="n">
        <f aca="false">IF($BK54="",0,IF($BM54&gt;=1,IF($BN54&lt;=0,2,3),IF($BN54&lt;=0,4,5)))</f>
        <v>0</v>
      </c>
      <c r="BK54" s="0" t="str">
        <f aca="false">IF('Data Input'!Q33="","",'Data Input'!Q33)</f>
        <v/>
      </c>
      <c r="BL54" s="0" t="str">
        <f aca="false">IF('Data Input'!R33="","",'Data Input'!R33)</f>
        <v/>
      </c>
      <c r="BM54" s="4" t="n">
        <f aca="false">'Data Input'!S33</f>
        <v>0</v>
      </c>
      <c r="BN54" s="4" t="n">
        <f aca="false">'Data Input'!Y33</f>
        <v>18</v>
      </c>
      <c r="BO54" s="4" t="n">
        <f aca="false">IF($BM54&gt;=1,-999,MAX(($C$1-$A$1)*24,IF($BK54&lt;&gt;"",$BI54,$BP54-'Data Input'!E33)))</f>
        <v>27</v>
      </c>
      <c r="BP54" s="4" t="n">
        <f aca="false">('Data Input'!D33+'Data Input'!Y33/24-$A$1)*24</f>
        <v>29</v>
      </c>
    </row>
    <row r="55" customFormat="false" ht="11.25" hidden="false" customHeight="true" outlineLevel="0" collapsed="false">
      <c r="A55" s="34" t="n">
        <f aca="false">'Data Input'!A34</f>
        <v>8</v>
      </c>
      <c r="B55" s="35" t="str">
        <f aca="false">'Data Input'!B34</f>
        <v>Installation of new precast culvert</v>
      </c>
      <c r="C55" s="36" t="str">
        <f aca="false">'Data Input'!O34</f>
        <v>NOT STARTED - LATE</v>
      </c>
      <c r="D55" s="37" t="n">
        <f aca="false">'Data Input'!D34</f>
        <v>46311.6666666667</v>
      </c>
      <c r="E55" s="38" t="n">
        <f aca="false">'Data Input'!D34+'Data Input'!Y34/24</f>
        <v>46312.4166666667</v>
      </c>
      <c r="F55" s="39" t="n">
        <f aca="false">'Data Input'!Y34</f>
        <v>18</v>
      </c>
      <c r="G55" s="40" t="n">
        <f aca="false">'Data Input'!T34</f>
        <v>1</v>
      </c>
      <c r="H55" s="41" t="n">
        <f aca="false">'Data Input'!S34</f>
        <v>0</v>
      </c>
      <c r="I55" s="21"/>
      <c r="J55" s="42" t="s">
        <v>27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H55" s="4" t="n">
        <f aca="false">('Data Input'!C34-$A$1)*24</f>
        <v>11</v>
      </c>
      <c r="BI55" s="4" t="n">
        <f aca="false">('Data Input'!D34-$A$1)*24</f>
        <v>16</v>
      </c>
      <c r="BJ55" s="0" t="n">
        <v>1</v>
      </c>
      <c r="BO55" s="0" t="n">
        <v>-999</v>
      </c>
      <c r="BP55" s="0" t="n">
        <v>-999</v>
      </c>
    </row>
    <row r="56" customFormat="false" ht="11.25" hidden="false" customHeight="true" outlineLevel="0" collapsed="false">
      <c r="A56" s="34"/>
      <c r="B56" s="34"/>
      <c r="C56" s="36"/>
      <c r="D56" s="37"/>
      <c r="E56" s="37"/>
      <c r="F56" s="39"/>
      <c r="G56" s="40"/>
      <c r="H56" s="40"/>
      <c r="I56" s="40"/>
      <c r="J56" s="42" t="s">
        <v>28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H56" s="4" t="n">
        <f aca="false">IF($BK56="",-999,($BK56-$A$1)*24)</f>
        <v>-999</v>
      </c>
      <c r="BI56" s="4" t="n">
        <f aca="false">IF($BK56="",-999,(IF($BL56&lt;&gt;"",$BL56,IF($C$1&gt;$BK56,$C$1,$BK56+MAX('Data Input'!E34*$BM56,0.5)/24))-$A$1)*24)</f>
        <v>-999</v>
      </c>
      <c r="BJ56" s="4" t="n">
        <f aca="false">IF($BK56="",0,IF($BM56&gt;=1,IF($BN56&lt;=0,2,3),IF($BN56&lt;=0,4,5)))</f>
        <v>0</v>
      </c>
      <c r="BK56" s="0" t="str">
        <f aca="false">IF('Data Input'!Q34="","",'Data Input'!Q34)</f>
        <v/>
      </c>
      <c r="BL56" s="0" t="str">
        <f aca="false">IF('Data Input'!R34="","",'Data Input'!R34)</f>
        <v/>
      </c>
      <c r="BM56" s="4" t="n">
        <f aca="false">'Data Input'!S34</f>
        <v>0</v>
      </c>
      <c r="BN56" s="4" t="n">
        <f aca="false">'Data Input'!Y34</f>
        <v>18</v>
      </c>
      <c r="BO56" s="4" t="n">
        <f aca="false">IF($BM56&gt;=1,-999,MAX(($C$1-$A$1)*24,IF($BK56&lt;&gt;"",$BI56,$BP56-'Data Input'!E34)))</f>
        <v>29</v>
      </c>
      <c r="BP56" s="4" t="n">
        <f aca="false">('Data Input'!D34+'Data Input'!Y34/24-$A$1)*24</f>
        <v>34</v>
      </c>
    </row>
    <row r="57" customFormat="false" ht="11.25" hidden="false" customHeight="true" outlineLevel="0" collapsed="false">
      <c r="A57" s="34" t="n">
        <f aca="false">'Data Input'!A35</f>
        <v>9</v>
      </c>
      <c r="B57" s="35" t="str">
        <f aca="false">'Data Input'!B35</f>
        <v>Apply sealant to the culvert</v>
      </c>
      <c r="C57" s="36" t="str">
        <f aca="false">'Data Input'!O35</f>
        <v>NOT STARTED - LATE</v>
      </c>
      <c r="D57" s="37" t="n">
        <f aca="false">'Data Input'!D35</f>
        <v>46311.75</v>
      </c>
      <c r="E57" s="38" t="n">
        <f aca="false">'Data Input'!D35+'Data Input'!Y35/24</f>
        <v>46312.5</v>
      </c>
      <c r="F57" s="39" t="n">
        <f aca="false">'Data Input'!Y35</f>
        <v>18</v>
      </c>
      <c r="G57" s="40" t="n">
        <f aca="false">'Data Input'!T35</f>
        <v>1</v>
      </c>
      <c r="H57" s="41" t="n">
        <f aca="false">'Data Input'!S35</f>
        <v>0</v>
      </c>
      <c r="I57" s="21"/>
      <c r="J57" s="42" t="s">
        <v>27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H57" s="4" t="n">
        <f aca="false">('Data Input'!C35-$A$1)*24</f>
        <v>16</v>
      </c>
      <c r="BI57" s="4" t="n">
        <f aca="false">('Data Input'!D35-$A$1)*24</f>
        <v>18</v>
      </c>
      <c r="BJ57" s="0" t="n">
        <v>1</v>
      </c>
      <c r="BO57" s="0" t="n">
        <v>-999</v>
      </c>
      <c r="BP57" s="0" t="n">
        <v>-999</v>
      </c>
    </row>
    <row r="58" customFormat="false" ht="11.25" hidden="false" customHeight="true" outlineLevel="0" collapsed="false">
      <c r="A58" s="34"/>
      <c r="B58" s="34"/>
      <c r="C58" s="36"/>
      <c r="D58" s="37"/>
      <c r="E58" s="37"/>
      <c r="F58" s="39"/>
      <c r="G58" s="40"/>
      <c r="H58" s="40"/>
      <c r="I58" s="40"/>
      <c r="J58" s="42" t="s">
        <v>28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H58" s="4" t="n">
        <f aca="false">IF($BK58="",-999,($BK58-$A$1)*24)</f>
        <v>-999</v>
      </c>
      <c r="BI58" s="4" t="n">
        <f aca="false">IF($BK58="",-999,(IF($BL58&lt;&gt;"",$BL58,IF($C$1&gt;$BK58,$C$1,$BK58+MAX('Data Input'!E35*$BM58,0.5)/24))-$A$1)*24)</f>
        <v>-999</v>
      </c>
      <c r="BJ58" s="4" t="n">
        <f aca="false">IF($BK58="",0,IF($BM58&gt;=1,IF($BN58&lt;=0,2,3),IF($BN58&lt;=0,4,5)))</f>
        <v>0</v>
      </c>
      <c r="BK58" s="0" t="str">
        <f aca="false">IF('Data Input'!Q35="","",'Data Input'!Q35)</f>
        <v/>
      </c>
      <c r="BL58" s="0" t="str">
        <f aca="false">IF('Data Input'!R35="","",'Data Input'!R35)</f>
        <v/>
      </c>
      <c r="BM58" s="4" t="n">
        <f aca="false">'Data Input'!S35</f>
        <v>0</v>
      </c>
      <c r="BN58" s="4" t="n">
        <f aca="false">'Data Input'!Y35</f>
        <v>18</v>
      </c>
      <c r="BO58" s="4" t="n">
        <f aca="false">IF($BM58&gt;=1,-999,MAX(($C$1-$A$1)*24,IF($BK58&lt;&gt;"",$BI58,$BP58-'Data Input'!E35)))</f>
        <v>34</v>
      </c>
      <c r="BP58" s="4" t="n">
        <f aca="false">('Data Input'!D35+'Data Input'!Y35/24-$A$1)*24</f>
        <v>36</v>
      </c>
    </row>
    <row r="59" customFormat="false" ht="11.25" hidden="false" customHeight="true" outlineLevel="0" collapsed="false">
      <c r="A59" s="34" t="n">
        <f aca="false">'Data Input'!A36</f>
        <v>10</v>
      </c>
      <c r="B59" s="35" t="str">
        <f aca="false">'Data Input'!B36</f>
        <v>Backfill around culvert to subgrade level</v>
      </c>
      <c r="C59" s="36" t="str">
        <f aca="false">'Data Input'!O36</f>
        <v>NOT STARTED - LATE</v>
      </c>
      <c r="D59" s="37" t="n">
        <f aca="false">'Data Input'!D36</f>
        <v>46311.9583333333</v>
      </c>
      <c r="E59" s="38" t="n">
        <f aca="false">'Data Input'!D36+'Data Input'!Y36/24</f>
        <v>46312.7083333333</v>
      </c>
      <c r="F59" s="39" t="n">
        <f aca="false">'Data Input'!Y36</f>
        <v>18</v>
      </c>
      <c r="G59" s="40" t="n">
        <f aca="false">'Data Input'!T36</f>
        <v>0</v>
      </c>
      <c r="H59" s="41" t="n">
        <f aca="false">'Data Input'!S36</f>
        <v>0</v>
      </c>
      <c r="I59" s="21"/>
      <c r="J59" s="42" t="s">
        <v>27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H59" s="4" t="n">
        <f aca="false">('Data Input'!C36-$A$1)*24</f>
        <v>18</v>
      </c>
      <c r="BI59" s="4" t="n">
        <f aca="false">('Data Input'!D36-$A$1)*24</f>
        <v>23</v>
      </c>
      <c r="BJ59" s="0" t="n">
        <v>1</v>
      </c>
      <c r="BO59" s="0" t="n">
        <v>-999</v>
      </c>
      <c r="BP59" s="0" t="n">
        <v>-999</v>
      </c>
    </row>
    <row r="60" customFormat="false" ht="11.25" hidden="false" customHeight="true" outlineLevel="0" collapsed="false">
      <c r="A60" s="34"/>
      <c r="B60" s="34"/>
      <c r="C60" s="36"/>
      <c r="D60" s="37"/>
      <c r="E60" s="37"/>
      <c r="F60" s="39"/>
      <c r="G60" s="40"/>
      <c r="H60" s="40"/>
      <c r="I60" s="40"/>
      <c r="J60" s="42" t="s">
        <v>28</v>
      </c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H60" s="4" t="n">
        <f aca="false">IF($BK60="",-999,($BK60-$A$1)*24)</f>
        <v>-999</v>
      </c>
      <c r="BI60" s="4" t="n">
        <f aca="false">IF($BK60="",-999,(IF($BL60&lt;&gt;"",$BL60,IF($C$1&gt;$BK60,$C$1,$BK60+MAX('Data Input'!E36*$BM60,0.5)/24))-$A$1)*24)</f>
        <v>-999</v>
      </c>
      <c r="BJ60" s="4" t="n">
        <f aca="false">IF($BK60="",0,IF($BM60&gt;=1,IF($BN60&lt;=0,2,3),IF($BN60&lt;=0,4,5)))</f>
        <v>0</v>
      </c>
      <c r="BK60" s="0" t="str">
        <f aca="false">IF('Data Input'!Q36="","",'Data Input'!Q36)</f>
        <v/>
      </c>
      <c r="BL60" s="0" t="str">
        <f aca="false">IF('Data Input'!R36="","",'Data Input'!R36)</f>
        <v/>
      </c>
      <c r="BM60" s="4" t="n">
        <f aca="false">'Data Input'!S36</f>
        <v>0</v>
      </c>
      <c r="BN60" s="4" t="n">
        <f aca="false">'Data Input'!Y36</f>
        <v>18</v>
      </c>
      <c r="BO60" s="4" t="n">
        <f aca="false">IF($BM60&gt;=1,-999,MAX(($C$1-$A$1)*24,IF($BK60&lt;&gt;"",$BI60,$BP60-'Data Input'!E36)))</f>
        <v>36</v>
      </c>
      <c r="BP60" s="4" t="n">
        <f aca="false">('Data Input'!D36+'Data Input'!Y36/24-$A$1)*24</f>
        <v>41</v>
      </c>
    </row>
    <row r="61" customFormat="false" ht="11.25" hidden="false" customHeight="true" outlineLevel="0" collapsed="false">
      <c r="A61" s="34" t="n">
        <f aca="false">'Data Input'!A37</f>
        <v>11</v>
      </c>
      <c r="B61" s="35" t="str">
        <f aca="false">'Data Input'!B37</f>
        <v>Backfill Subgrade</v>
      </c>
      <c r="C61" s="36" t="str">
        <f aca="false">'Data Input'!O37</f>
        <v>Not Started</v>
      </c>
      <c r="D61" s="37" t="n">
        <f aca="false">'Data Input'!D37</f>
        <v>46312.0416666667</v>
      </c>
      <c r="E61" s="38" t="n">
        <f aca="false">'Data Input'!D37+'Data Input'!Y37/24</f>
        <v>46312.7916666667</v>
      </c>
      <c r="F61" s="39" t="n">
        <f aca="false">'Data Input'!Y37</f>
        <v>18</v>
      </c>
      <c r="G61" s="40" t="n">
        <f aca="false">'Data Input'!T37</f>
        <v>0</v>
      </c>
      <c r="H61" s="41" t="n">
        <f aca="false">'Data Input'!S37</f>
        <v>0</v>
      </c>
      <c r="I61" s="21"/>
      <c r="J61" s="42" t="s">
        <v>27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H61" s="4" t="n">
        <f aca="false">('Data Input'!C37-$A$1)*24</f>
        <v>23</v>
      </c>
      <c r="BI61" s="4" t="n">
        <f aca="false">('Data Input'!D37-$A$1)*24</f>
        <v>25</v>
      </c>
      <c r="BJ61" s="0" t="n">
        <v>1</v>
      </c>
      <c r="BO61" s="0" t="n">
        <v>-999</v>
      </c>
      <c r="BP61" s="0" t="n">
        <v>-999</v>
      </c>
    </row>
    <row r="62" customFormat="false" ht="11.25" hidden="false" customHeight="true" outlineLevel="0" collapsed="false">
      <c r="A62" s="34"/>
      <c r="B62" s="34"/>
      <c r="C62" s="36"/>
      <c r="D62" s="37"/>
      <c r="E62" s="37"/>
      <c r="F62" s="39"/>
      <c r="G62" s="40"/>
      <c r="H62" s="40"/>
      <c r="I62" s="40"/>
      <c r="J62" s="42" t="s">
        <v>28</v>
      </c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H62" s="4" t="n">
        <f aca="false">IF($BK62="",-999,($BK62-$A$1)*24)</f>
        <v>-999</v>
      </c>
      <c r="BI62" s="4" t="n">
        <f aca="false">IF($BK62="",-999,(IF($BL62&lt;&gt;"",$BL62,IF($C$1&gt;$BK62,$C$1,$BK62+MAX('Data Input'!E37*$BM62,0.5)/24))-$A$1)*24)</f>
        <v>-999</v>
      </c>
      <c r="BJ62" s="4" t="n">
        <f aca="false">IF($BK62="",0,IF($BM62&gt;=1,IF($BN62&lt;=0,2,3),IF($BN62&lt;=0,4,5)))</f>
        <v>0</v>
      </c>
      <c r="BK62" s="0" t="str">
        <f aca="false">IF('Data Input'!Q37="","",'Data Input'!Q37)</f>
        <v/>
      </c>
      <c r="BL62" s="0" t="str">
        <f aca="false">IF('Data Input'!R37="","",'Data Input'!R37)</f>
        <v/>
      </c>
      <c r="BM62" s="4" t="n">
        <f aca="false">'Data Input'!S37</f>
        <v>0</v>
      </c>
      <c r="BN62" s="4" t="n">
        <f aca="false">'Data Input'!Y37</f>
        <v>18</v>
      </c>
      <c r="BO62" s="4" t="n">
        <f aca="false">IF($BM62&gt;=1,-999,MAX(($C$1-$A$1)*24,IF($BK62&lt;&gt;"",$BI62,$BP62-'Data Input'!E37)))</f>
        <v>41</v>
      </c>
      <c r="BP62" s="4" t="n">
        <f aca="false">('Data Input'!D37+'Data Input'!Y37/24-$A$1)*24</f>
        <v>43</v>
      </c>
    </row>
    <row r="63" customFormat="false" ht="11.25" hidden="false" customHeight="true" outlineLevel="0" collapsed="false">
      <c r="A63" s="34" t="n">
        <f aca="false">'Data Input'!A38</f>
        <v>12</v>
      </c>
      <c r="B63" s="35" t="str">
        <f aca="false">'Data Input'!B38</f>
        <v>First layer of ballast (Line 1)</v>
      </c>
      <c r="C63" s="36" t="str">
        <f aca="false">'Data Input'!O38</f>
        <v>Not Started</v>
      </c>
      <c r="D63" s="37" t="n">
        <f aca="false">'Data Input'!D38</f>
        <v>46312.0833333333</v>
      </c>
      <c r="E63" s="38" t="n">
        <f aca="false">'Data Input'!D38+'Data Input'!Y38/24</f>
        <v>46312.8333333333</v>
      </c>
      <c r="F63" s="39" t="n">
        <f aca="false">'Data Input'!Y38</f>
        <v>18</v>
      </c>
      <c r="G63" s="40" t="n">
        <f aca="false">'Data Input'!T38</f>
        <v>0</v>
      </c>
      <c r="H63" s="41" t="n">
        <f aca="false">'Data Input'!S38</f>
        <v>0</v>
      </c>
      <c r="I63" s="21"/>
      <c r="J63" s="42" t="s">
        <v>27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H63" s="4" t="n">
        <f aca="false">('Data Input'!C38-$A$1)*24</f>
        <v>25</v>
      </c>
      <c r="BI63" s="4" t="n">
        <f aca="false">('Data Input'!D38-$A$1)*24</f>
        <v>26</v>
      </c>
      <c r="BJ63" s="0" t="n">
        <v>1</v>
      </c>
      <c r="BO63" s="0" t="n">
        <v>-999</v>
      </c>
      <c r="BP63" s="0" t="n">
        <v>-999</v>
      </c>
    </row>
    <row r="64" customFormat="false" ht="11.25" hidden="false" customHeight="true" outlineLevel="0" collapsed="false">
      <c r="A64" s="34"/>
      <c r="B64" s="34"/>
      <c r="C64" s="36"/>
      <c r="D64" s="37"/>
      <c r="E64" s="37"/>
      <c r="F64" s="39"/>
      <c r="G64" s="40"/>
      <c r="H64" s="40"/>
      <c r="I64" s="40"/>
      <c r="J64" s="42" t="s">
        <v>28</v>
      </c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H64" s="4" t="n">
        <f aca="false">IF($BK64="",-999,($BK64-$A$1)*24)</f>
        <v>-999</v>
      </c>
      <c r="BI64" s="4" t="n">
        <f aca="false">IF($BK64="",-999,(IF($BL64&lt;&gt;"",$BL64,IF($C$1&gt;$BK64,$C$1,$BK64+MAX('Data Input'!E38*$BM64,0.5)/24))-$A$1)*24)</f>
        <v>-999</v>
      </c>
      <c r="BJ64" s="4" t="n">
        <f aca="false">IF($BK64="",0,IF($BM64&gt;=1,IF($BN64&lt;=0,2,3),IF($BN64&lt;=0,4,5)))</f>
        <v>0</v>
      </c>
      <c r="BK64" s="0" t="str">
        <f aca="false">IF('Data Input'!Q38="","",'Data Input'!Q38)</f>
        <v/>
      </c>
      <c r="BL64" s="0" t="str">
        <f aca="false">IF('Data Input'!R38="","",'Data Input'!R38)</f>
        <v/>
      </c>
      <c r="BM64" s="4" t="n">
        <f aca="false">'Data Input'!S38</f>
        <v>0</v>
      </c>
      <c r="BN64" s="4" t="n">
        <f aca="false">'Data Input'!Y38</f>
        <v>18</v>
      </c>
      <c r="BO64" s="4" t="n">
        <f aca="false">IF($BM64&gt;=1,-999,MAX(($C$1-$A$1)*24,IF($BK64&lt;&gt;"",$BI64,$BP64-'Data Input'!E38)))</f>
        <v>43</v>
      </c>
      <c r="BP64" s="4" t="n">
        <f aca="false">('Data Input'!D38+'Data Input'!Y38/24-$A$1)*24</f>
        <v>44</v>
      </c>
    </row>
    <row r="65" customFormat="false" ht="11.25" hidden="false" customHeight="true" outlineLevel="0" collapsed="false">
      <c r="A65" s="34" t="n">
        <f aca="false">'Data Input'!A39</f>
        <v>13</v>
      </c>
      <c r="B65" s="35" t="str">
        <f aca="false">'Data Input'!B39</f>
        <v>First layer of ballast (Line 3)</v>
      </c>
      <c r="C65" s="36" t="str">
        <f aca="false">'Data Input'!O39</f>
        <v>Not Started</v>
      </c>
      <c r="D65" s="37" t="n">
        <f aca="false">'Data Input'!D39</f>
        <v>46312.125</v>
      </c>
      <c r="E65" s="38" t="n">
        <f aca="false">'Data Input'!D39+'Data Input'!Y39/24</f>
        <v>46312.875</v>
      </c>
      <c r="F65" s="39" t="n">
        <f aca="false">'Data Input'!Y39</f>
        <v>18</v>
      </c>
      <c r="G65" s="40" t="n">
        <f aca="false">'Data Input'!T39</f>
        <v>0</v>
      </c>
      <c r="H65" s="41" t="n">
        <f aca="false">'Data Input'!S39</f>
        <v>0</v>
      </c>
      <c r="I65" s="21"/>
      <c r="J65" s="42" t="s">
        <v>27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H65" s="4" t="n">
        <f aca="false">('Data Input'!C39-$A$1)*24</f>
        <v>26</v>
      </c>
      <c r="BI65" s="4" t="n">
        <f aca="false">('Data Input'!D39-$A$1)*24</f>
        <v>27</v>
      </c>
      <c r="BJ65" s="0" t="n">
        <v>1</v>
      </c>
      <c r="BO65" s="0" t="n">
        <v>-999</v>
      </c>
      <c r="BP65" s="0" t="n">
        <v>-999</v>
      </c>
    </row>
    <row r="66" customFormat="false" ht="11.25" hidden="false" customHeight="true" outlineLevel="0" collapsed="false">
      <c r="A66" s="34"/>
      <c r="B66" s="34"/>
      <c r="C66" s="36"/>
      <c r="D66" s="37"/>
      <c r="E66" s="37"/>
      <c r="F66" s="39"/>
      <c r="G66" s="40"/>
      <c r="H66" s="40"/>
      <c r="I66" s="40"/>
      <c r="J66" s="42" t="s">
        <v>28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H66" s="4" t="n">
        <f aca="false">IF($BK66="",-999,($BK66-$A$1)*24)</f>
        <v>-999</v>
      </c>
      <c r="BI66" s="4" t="n">
        <f aca="false">IF($BK66="",-999,(IF($BL66&lt;&gt;"",$BL66,IF($C$1&gt;$BK66,$C$1,$BK66+MAX('Data Input'!E39*$BM66,0.5)/24))-$A$1)*24)</f>
        <v>-999</v>
      </c>
      <c r="BJ66" s="4" t="n">
        <f aca="false">IF($BK66="",0,IF($BM66&gt;=1,IF($BN66&lt;=0,2,3),IF($BN66&lt;=0,4,5)))</f>
        <v>0</v>
      </c>
      <c r="BK66" s="0" t="str">
        <f aca="false">IF('Data Input'!Q39="","",'Data Input'!Q39)</f>
        <v/>
      </c>
      <c r="BL66" s="0" t="str">
        <f aca="false">IF('Data Input'!R39="","",'Data Input'!R39)</f>
        <v/>
      </c>
      <c r="BM66" s="4" t="n">
        <f aca="false">'Data Input'!S39</f>
        <v>0</v>
      </c>
      <c r="BN66" s="4" t="n">
        <f aca="false">'Data Input'!Y39</f>
        <v>18</v>
      </c>
      <c r="BO66" s="4" t="n">
        <f aca="false">IF($BM66&gt;=1,-999,MAX(($C$1-$A$1)*24,IF($BK66&lt;&gt;"",$BI66,$BP66-'Data Input'!E39)))</f>
        <v>44</v>
      </c>
      <c r="BP66" s="4" t="n">
        <f aca="false">('Data Input'!D39+'Data Input'!Y39/24-$A$1)*24</f>
        <v>45</v>
      </c>
    </row>
    <row r="67" customFormat="false" ht="11.25" hidden="false" customHeight="true" outlineLevel="0" collapsed="false">
      <c r="A67" s="34" t="n">
        <f aca="false">'Data Input'!A40</f>
        <v>14</v>
      </c>
      <c r="B67" s="35" t="str">
        <f aca="false">'Data Input'!B40</f>
        <v>Track installation (Line 1)</v>
      </c>
      <c r="C67" s="36" t="str">
        <f aca="false">'Data Input'!O40</f>
        <v>Not Started</v>
      </c>
      <c r="D67" s="37" t="n">
        <f aca="false">'Data Input'!D40</f>
        <v>46312.1666666667</v>
      </c>
      <c r="E67" s="38" t="n">
        <f aca="false">'Data Input'!D40+'Data Input'!Y40/24</f>
        <v>46312.9166666667</v>
      </c>
      <c r="F67" s="39" t="n">
        <f aca="false">'Data Input'!Y40</f>
        <v>18</v>
      </c>
      <c r="G67" s="40" t="n">
        <f aca="false">'Data Input'!T40</f>
        <v>0</v>
      </c>
      <c r="H67" s="41" t="n">
        <f aca="false">'Data Input'!S40</f>
        <v>0</v>
      </c>
      <c r="I67" s="21"/>
      <c r="J67" s="42" t="s">
        <v>27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H67" s="4" t="n">
        <f aca="false">('Data Input'!C40-$A$1)*24</f>
        <v>27</v>
      </c>
      <c r="BI67" s="4" t="n">
        <f aca="false">('Data Input'!D40-$A$1)*24</f>
        <v>28</v>
      </c>
      <c r="BJ67" s="0" t="n">
        <v>1</v>
      </c>
      <c r="BO67" s="0" t="n">
        <v>-999</v>
      </c>
      <c r="BP67" s="0" t="n">
        <v>-999</v>
      </c>
    </row>
    <row r="68" customFormat="false" ht="11.25" hidden="false" customHeight="true" outlineLevel="0" collapsed="false">
      <c r="A68" s="34"/>
      <c r="B68" s="34"/>
      <c r="C68" s="36"/>
      <c r="D68" s="37"/>
      <c r="E68" s="37"/>
      <c r="F68" s="39"/>
      <c r="G68" s="40"/>
      <c r="H68" s="40"/>
      <c r="I68" s="40"/>
      <c r="J68" s="42" t="s">
        <v>28</v>
      </c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H68" s="4" t="n">
        <f aca="false">IF($BK68="",-999,($BK68-$A$1)*24)</f>
        <v>-999</v>
      </c>
      <c r="BI68" s="4" t="n">
        <f aca="false">IF($BK68="",-999,(IF($BL68&lt;&gt;"",$BL68,IF($C$1&gt;$BK68,$C$1,$BK68+MAX('Data Input'!E40*$BM68,0.5)/24))-$A$1)*24)</f>
        <v>-999</v>
      </c>
      <c r="BJ68" s="4" t="n">
        <f aca="false">IF($BK68="",0,IF($BM68&gt;=1,IF($BN68&lt;=0,2,3),IF($BN68&lt;=0,4,5)))</f>
        <v>0</v>
      </c>
      <c r="BK68" s="0" t="str">
        <f aca="false">IF('Data Input'!Q40="","",'Data Input'!Q40)</f>
        <v/>
      </c>
      <c r="BL68" s="0" t="str">
        <f aca="false">IF('Data Input'!R40="","",'Data Input'!R40)</f>
        <v/>
      </c>
      <c r="BM68" s="4" t="n">
        <f aca="false">'Data Input'!S40</f>
        <v>0</v>
      </c>
      <c r="BN68" s="4" t="n">
        <f aca="false">'Data Input'!Y40</f>
        <v>18</v>
      </c>
      <c r="BO68" s="4" t="n">
        <f aca="false">IF($BM68&gt;=1,-999,MAX(($C$1-$A$1)*24,IF($BK68&lt;&gt;"",$BI68,$BP68-'Data Input'!E40)))</f>
        <v>45</v>
      </c>
      <c r="BP68" s="4" t="n">
        <f aca="false">('Data Input'!D40+'Data Input'!Y40/24-$A$1)*24</f>
        <v>46</v>
      </c>
    </row>
    <row r="69" customFormat="false" ht="11.25" hidden="false" customHeight="true" outlineLevel="0" collapsed="false">
      <c r="A69" s="34" t="n">
        <f aca="false">'Data Input'!A41</f>
        <v>15</v>
      </c>
      <c r="B69" s="35" t="str">
        <f aca="false">'Data Input'!B41</f>
        <v>Track installation (Line 3)</v>
      </c>
      <c r="C69" s="36" t="str">
        <f aca="false">'Data Input'!O41</f>
        <v>Not Started</v>
      </c>
      <c r="D69" s="37" t="n">
        <f aca="false">'Data Input'!D41</f>
        <v>46312.2083333333</v>
      </c>
      <c r="E69" s="38" t="n">
        <f aca="false">'Data Input'!D41+'Data Input'!Y41/24</f>
        <v>46312.9583333333</v>
      </c>
      <c r="F69" s="39" t="n">
        <f aca="false">'Data Input'!Y41</f>
        <v>18</v>
      </c>
      <c r="G69" s="40" t="n">
        <f aca="false">'Data Input'!T41</f>
        <v>0</v>
      </c>
      <c r="H69" s="41" t="n">
        <f aca="false">'Data Input'!S41</f>
        <v>0</v>
      </c>
      <c r="I69" s="21"/>
      <c r="J69" s="42" t="s">
        <v>27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H69" s="4" t="n">
        <f aca="false">('Data Input'!C41-$A$1)*24</f>
        <v>28</v>
      </c>
      <c r="BI69" s="4" t="n">
        <f aca="false">('Data Input'!D41-$A$1)*24</f>
        <v>29</v>
      </c>
      <c r="BJ69" s="0" t="n">
        <v>1</v>
      </c>
      <c r="BO69" s="0" t="n">
        <v>-999</v>
      </c>
      <c r="BP69" s="0" t="n">
        <v>-999</v>
      </c>
    </row>
    <row r="70" customFormat="false" ht="11.25" hidden="false" customHeight="true" outlineLevel="0" collapsed="false">
      <c r="A70" s="34"/>
      <c r="B70" s="34"/>
      <c r="C70" s="36"/>
      <c r="D70" s="37"/>
      <c r="E70" s="37"/>
      <c r="F70" s="39"/>
      <c r="G70" s="40"/>
      <c r="H70" s="40"/>
      <c r="I70" s="40"/>
      <c r="J70" s="42" t="s">
        <v>28</v>
      </c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H70" s="4" t="n">
        <f aca="false">IF($BK70="",-999,($BK70-$A$1)*24)</f>
        <v>-999</v>
      </c>
      <c r="BI70" s="4" t="n">
        <f aca="false">IF($BK70="",-999,(IF($BL70&lt;&gt;"",$BL70,IF($C$1&gt;$BK70,$C$1,$BK70+MAX('Data Input'!E41*$BM70,0.5)/24))-$A$1)*24)</f>
        <v>-999</v>
      </c>
      <c r="BJ70" s="4" t="n">
        <f aca="false">IF($BK70="",0,IF($BM70&gt;=1,IF($BN70&lt;=0,2,3),IF($BN70&lt;=0,4,5)))</f>
        <v>0</v>
      </c>
      <c r="BK70" s="0" t="str">
        <f aca="false">IF('Data Input'!Q41="","",'Data Input'!Q41)</f>
        <v/>
      </c>
      <c r="BL70" s="0" t="str">
        <f aca="false">IF('Data Input'!R41="","",'Data Input'!R41)</f>
        <v/>
      </c>
      <c r="BM70" s="4" t="n">
        <f aca="false">'Data Input'!S41</f>
        <v>0</v>
      </c>
      <c r="BN70" s="4" t="n">
        <f aca="false">'Data Input'!Y41</f>
        <v>18</v>
      </c>
      <c r="BO70" s="4" t="n">
        <f aca="false">IF($BM70&gt;=1,-999,MAX(($C$1-$A$1)*24,IF($BK70&lt;&gt;"",$BI70,$BP70-'Data Input'!E41)))</f>
        <v>46</v>
      </c>
      <c r="BP70" s="4" t="n">
        <f aca="false">('Data Input'!D41+'Data Input'!Y41/24-$A$1)*24</f>
        <v>47</v>
      </c>
    </row>
    <row r="71" customFormat="false" ht="11.25" hidden="false" customHeight="true" outlineLevel="0" collapsed="false">
      <c r="A71" s="34" t="n">
        <f aca="false">'Data Input'!A42</f>
        <v>16</v>
      </c>
      <c r="B71" s="35" t="str">
        <f aca="false">'Data Input'!B42</f>
        <v>1st &amp; 2nd Ballasting / Tamping (Line 1)</v>
      </c>
      <c r="C71" s="36" t="str">
        <f aca="false">'Data Input'!O42</f>
        <v>Not Started</v>
      </c>
      <c r="D71" s="37" t="n">
        <f aca="false">'Data Input'!D42</f>
        <v>46312.25</v>
      </c>
      <c r="E71" s="38" t="n">
        <f aca="false">'Data Input'!D42+'Data Input'!Y42/24</f>
        <v>46313</v>
      </c>
      <c r="F71" s="39" t="n">
        <f aca="false">'Data Input'!Y42</f>
        <v>18</v>
      </c>
      <c r="G71" s="40" t="n">
        <f aca="false">'Data Input'!T42</f>
        <v>0</v>
      </c>
      <c r="H71" s="41" t="n">
        <f aca="false">'Data Input'!S42</f>
        <v>0</v>
      </c>
      <c r="I71" s="21"/>
      <c r="J71" s="42" t="s">
        <v>27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H71" s="4" t="n">
        <f aca="false">('Data Input'!C42-$A$1)*24</f>
        <v>29</v>
      </c>
      <c r="BI71" s="4" t="n">
        <f aca="false">('Data Input'!D42-$A$1)*24</f>
        <v>30</v>
      </c>
      <c r="BJ71" s="0" t="n">
        <v>1</v>
      </c>
      <c r="BO71" s="0" t="n">
        <v>-999</v>
      </c>
      <c r="BP71" s="0" t="n">
        <v>-999</v>
      </c>
    </row>
    <row r="72" customFormat="false" ht="11.25" hidden="false" customHeight="true" outlineLevel="0" collapsed="false">
      <c r="A72" s="34"/>
      <c r="B72" s="34"/>
      <c r="C72" s="36"/>
      <c r="D72" s="37"/>
      <c r="E72" s="37"/>
      <c r="F72" s="39"/>
      <c r="G72" s="40"/>
      <c r="H72" s="40"/>
      <c r="I72" s="40"/>
      <c r="J72" s="42" t="s">
        <v>28</v>
      </c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H72" s="4" t="n">
        <f aca="false">IF($BK72="",-999,($BK72-$A$1)*24)</f>
        <v>-999</v>
      </c>
      <c r="BI72" s="4" t="n">
        <f aca="false">IF($BK72="",-999,(IF($BL72&lt;&gt;"",$BL72,IF($C$1&gt;$BK72,$C$1,$BK72+MAX('Data Input'!E42*$BM72,0.5)/24))-$A$1)*24)</f>
        <v>-999</v>
      </c>
      <c r="BJ72" s="4" t="n">
        <f aca="false">IF($BK72="",0,IF($BM72&gt;=1,IF($BN72&lt;=0,2,3),IF($BN72&lt;=0,4,5)))</f>
        <v>0</v>
      </c>
      <c r="BK72" s="0" t="str">
        <f aca="false">IF('Data Input'!Q42="","",'Data Input'!Q42)</f>
        <v/>
      </c>
      <c r="BL72" s="0" t="str">
        <f aca="false">IF('Data Input'!R42="","",'Data Input'!R42)</f>
        <v/>
      </c>
      <c r="BM72" s="4" t="n">
        <f aca="false">'Data Input'!S42</f>
        <v>0</v>
      </c>
      <c r="BN72" s="4" t="n">
        <f aca="false">'Data Input'!Y42</f>
        <v>18</v>
      </c>
      <c r="BO72" s="4" t="n">
        <f aca="false">IF($BM72&gt;=1,-999,MAX(($C$1-$A$1)*24,IF($BK72&lt;&gt;"",$BI72,$BP72-'Data Input'!E42)))</f>
        <v>47</v>
      </c>
      <c r="BP72" s="4" t="n">
        <f aca="false">('Data Input'!D42+'Data Input'!Y42/24-$A$1)*24</f>
        <v>48</v>
      </c>
    </row>
    <row r="73" customFormat="false" ht="11.25" hidden="false" customHeight="true" outlineLevel="0" collapsed="false">
      <c r="A73" s="34" t="n">
        <f aca="false">'Data Input'!A43</f>
        <v>17</v>
      </c>
      <c r="B73" s="35" t="str">
        <f aca="false">'Data Input'!B43</f>
        <v>Final Ballasting / Tamping (Line 1)</v>
      </c>
      <c r="C73" s="36" t="str">
        <f aca="false">'Data Input'!O43</f>
        <v>Not Started</v>
      </c>
      <c r="D73" s="37" t="n">
        <f aca="false">'Data Input'!D43</f>
        <v>46312.2916666667</v>
      </c>
      <c r="E73" s="38" t="n">
        <f aca="false">'Data Input'!D43+'Data Input'!Y43/24</f>
        <v>46313.0416666667</v>
      </c>
      <c r="F73" s="39" t="n">
        <f aca="false">'Data Input'!Y43</f>
        <v>18</v>
      </c>
      <c r="G73" s="40" t="n">
        <f aca="false">'Data Input'!T43</f>
        <v>0</v>
      </c>
      <c r="H73" s="41" t="n">
        <f aca="false">'Data Input'!S43</f>
        <v>0</v>
      </c>
      <c r="I73" s="21"/>
      <c r="J73" s="42" t="s">
        <v>27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H73" s="4" t="n">
        <f aca="false">('Data Input'!C43-$A$1)*24</f>
        <v>30</v>
      </c>
      <c r="BI73" s="4" t="n">
        <f aca="false">('Data Input'!D43-$A$1)*24</f>
        <v>31</v>
      </c>
      <c r="BJ73" s="0" t="n">
        <v>1</v>
      </c>
      <c r="BO73" s="0" t="n">
        <v>-999</v>
      </c>
      <c r="BP73" s="0" t="n">
        <v>-999</v>
      </c>
    </row>
    <row r="74" customFormat="false" ht="11.25" hidden="false" customHeight="true" outlineLevel="0" collapsed="false">
      <c r="A74" s="34"/>
      <c r="B74" s="34"/>
      <c r="C74" s="36"/>
      <c r="D74" s="37"/>
      <c r="E74" s="37"/>
      <c r="F74" s="39"/>
      <c r="G74" s="40"/>
      <c r="H74" s="40"/>
      <c r="I74" s="40"/>
      <c r="J74" s="42" t="s">
        <v>28</v>
      </c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H74" s="4" t="n">
        <f aca="false">IF($BK74="",-999,($BK74-$A$1)*24)</f>
        <v>-999</v>
      </c>
      <c r="BI74" s="4" t="n">
        <f aca="false">IF($BK74="",-999,(IF($BL74&lt;&gt;"",$BL74,IF($C$1&gt;$BK74,$C$1,$BK74+MAX('Data Input'!E43*$BM74,0.5)/24))-$A$1)*24)</f>
        <v>-999</v>
      </c>
      <c r="BJ74" s="4" t="n">
        <f aca="false">IF($BK74="",0,IF($BM74&gt;=1,IF($BN74&lt;=0,2,3),IF($BN74&lt;=0,4,5)))</f>
        <v>0</v>
      </c>
      <c r="BK74" s="0" t="str">
        <f aca="false">IF('Data Input'!Q43="","",'Data Input'!Q43)</f>
        <v/>
      </c>
      <c r="BL74" s="0" t="str">
        <f aca="false">IF('Data Input'!R43="","",'Data Input'!R43)</f>
        <v/>
      </c>
      <c r="BM74" s="4" t="n">
        <f aca="false">'Data Input'!S43</f>
        <v>0</v>
      </c>
      <c r="BN74" s="4" t="n">
        <f aca="false">'Data Input'!Y43</f>
        <v>18</v>
      </c>
      <c r="BO74" s="4" t="n">
        <f aca="false">IF($BM74&gt;=1,-999,MAX(($C$1-$A$1)*24,IF($BK74&lt;&gt;"",$BI74,$BP74-'Data Input'!E43)))</f>
        <v>48</v>
      </c>
      <c r="BP74" s="4" t="n">
        <f aca="false">('Data Input'!D43+'Data Input'!Y43/24-$A$1)*24</f>
        <v>49</v>
      </c>
    </row>
    <row r="75" customFormat="false" ht="11.25" hidden="false" customHeight="true" outlineLevel="0" collapsed="false">
      <c r="A75" s="34" t="n">
        <f aca="false">'Data Input'!A44</f>
        <v>18</v>
      </c>
      <c r="B75" s="35" t="str">
        <f aca="false">'Data Input'!B44</f>
        <v>OTMP moves from line 1 to Line 3 TK 121+000</v>
      </c>
      <c r="C75" s="36" t="str">
        <f aca="false">'Data Input'!O44</f>
        <v>Not Started</v>
      </c>
      <c r="D75" s="37" t="n">
        <f aca="false">'Data Input'!D44</f>
        <v>46312.3333333333</v>
      </c>
      <c r="E75" s="38" t="n">
        <f aca="false">'Data Input'!D44+'Data Input'!Y44/24</f>
        <v>46313.0833333333</v>
      </c>
      <c r="F75" s="39" t="n">
        <f aca="false">'Data Input'!Y44</f>
        <v>18</v>
      </c>
      <c r="G75" s="40" t="n">
        <f aca="false">'Data Input'!T44</f>
        <v>0</v>
      </c>
      <c r="H75" s="41" t="n">
        <f aca="false">'Data Input'!S44</f>
        <v>0</v>
      </c>
      <c r="I75" s="21"/>
      <c r="J75" s="42" t="s">
        <v>27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H75" s="4" t="n">
        <f aca="false">('Data Input'!C44-$A$1)*24</f>
        <v>31</v>
      </c>
      <c r="BI75" s="4" t="n">
        <f aca="false">('Data Input'!D44-$A$1)*24</f>
        <v>32</v>
      </c>
      <c r="BJ75" s="0" t="n">
        <v>1</v>
      </c>
      <c r="BO75" s="0" t="n">
        <v>-999</v>
      </c>
      <c r="BP75" s="0" t="n">
        <v>-999</v>
      </c>
    </row>
    <row r="76" customFormat="false" ht="11.25" hidden="false" customHeight="true" outlineLevel="0" collapsed="false">
      <c r="A76" s="34"/>
      <c r="B76" s="34"/>
      <c r="C76" s="36"/>
      <c r="D76" s="37"/>
      <c r="E76" s="37"/>
      <c r="F76" s="39"/>
      <c r="G76" s="40"/>
      <c r="H76" s="40"/>
      <c r="I76" s="40"/>
      <c r="J76" s="42" t="s">
        <v>28</v>
      </c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H76" s="4" t="n">
        <f aca="false">IF($BK76="",-999,($BK76-$A$1)*24)</f>
        <v>-999</v>
      </c>
      <c r="BI76" s="4" t="n">
        <f aca="false">IF($BK76="",-999,(IF($BL76&lt;&gt;"",$BL76,IF($C$1&gt;$BK76,$C$1,$BK76+MAX('Data Input'!E44*$BM76,0.5)/24))-$A$1)*24)</f>
        <v>-999</v>
      </c>
      <c r="BJ76" s="4" t="n">
        <f aca="false">IF($BK76="",0,IF($BM76&gt;=1,IF($BN76&lt;=0,2,3),IF($BN76&lt;=0,4,5)))</f>
        <v>0</v>
      </c>
      <c r="BK76" s="0" t="str">
        <f aca="false">IF('Data Input'!Q44="","",'Data Input'!Q44)</f>
        <v/>
      </c>
      <c r="BL76" s="0" t="str">
        <f aca="false">IF('Data Input'!R44="","",'Data Input'!R44)</f>
        <v/>
      </c>
      <c r="BM76" s="4" t="n">
        <f aca="false">'Data Input'!S44</f>
        <v>0</v>
      </c>
      <c r="BN76" s="4" t="n">
        <f aca="false">'Data Input'!Y44</f>
        <v>18</v>
      </c>
      <c r="BO76" s="4" t="n">
        <f aca="false">IF($BM76&gt;=1,-999,MAX(($C$1-$A$1)*24,IF($BK76&lt;&gt;"",$BI76,$BP76-'Data Input'!E44)))</f>
        <v>49</v>
      </c>
      <c r="BP76" s="4" t="n">
        <f aca="false">('Data Input'!D44+'Data Input'!Y44/24-$A$1)*24</f>
        <v>50</v>
      </c>
    </row>
    <row r="77" customFormat="false" ht="11.25" hidden="false" customHeight="true" outlineLevel="0" collapsed="false">
      <c r="A77" s="34" t="n">
        <f aca="false">'Data Input'!A45</f>
        <v>19</v>
      </c>
      <c r="B77" s="35" t="str">
        <f aca="false">'Data Input'!B45</f>
        <v>ATW – 2U (out of destressing) (Line 1)</v>
      </c>
      <c r="C77" s="36" t="str">
        <f aca="false">'Data Input'!O45</f>
        <v>Not Started</v>
      </c>
      <c r="D77" s="37" t="n">
        <f aca="false">'Data Input'!D45</f>
        <v>46312.4166666667</v>
      </c>
      <c r="E77" s="38" t="n">
        <f aca="false">'Data Input'!D45+'Data Input'!Y45/24</f>
        <v>46313.1666666667</v>
      </c>
      <c r="F77" s="39" t="n">
        <f aca="false">'Data Input'!Y45</f>
        <v>18</v>
      </c>
      <c r="G77" s="40" t="n">
        <f aca="false">'Data Input'!T45</f>
        <v>0</v>
      </c>
      <c r="H77" s="41" t="n">
        <f aca="false">'Data Input'!S45</f>
        <v>0</v>
      </c>
      <c r="I77" s="21"/>
      <c r="J77" s="42" t="s">
        <v>27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H77" s="4" t="n">
        <f aca="false">('Data Input'!C45-$A$1)*24</f>
        <v>32</v>
      </c>
      <c r="BI77" s="4" t="n">
        <f aca="false">('Data Input'!D45-$A$1)*24</f>
        <v>34</v>
      </c>
      <c r="BJ77" s="0" t="n">
        <v>1</v>
      </c>
      <c r="BO77" s="0" t="n">
        <v>-999</v>
      </c>
      <c r="BP77" s="0" t="n">
        <v>-999</v>
      </c>
    </row>
    <row r="78" customFormat="false" ht="11.25" hidden="false" customHeight="true" outlineLevel="0" collapsed="false">
      <c r="A78" s="34"/>
      <c r="B78" s="34"/>
      <c r="C78" s="36"/>
      <c r="D78" s="37"/>
      <c r="E78" s="37"/>
      <c r="F78" s="39"/>
      <c r="G78" s="40"/>
      <c r="H78" s="40"/>
      <c r="I78" s="40"/>
      <c r="J78" s="42" t="s">
        <v>28</v>
      </c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H78" s="4" t="n">
        <f aca="false">IF($BK78="",-999,($BK78-$A$1)*24)</f>
        <v>-999</v>
      </c>
      <c r="BI78" s="4" t="n">
        <f aca="false">IF($BK78="",-999,(IF($BL78&lt;&gt;"",$BL78,IF($C$1&gt;$BK78,$C$1,$BK78+MAX('Data Input'!E45*$BM78,0.5)/24))-$A$1)*24)</f>
        <v>-999</v>
      </c>
      <c r="BJ78" s="4" t="n">
        <f aca="false">IF($BK78="",0,IF($BM78&gt;=1,IF($BN78&lt;=0,2,3),IF($BN78&lt;=0,4,5)))</f>
        <v>0</v>
      </c>
      <c r="BK78" s="0" t="str">
        <f aca="false">IF('Data Input'!Q45="","",'Data Input'!Q45)</f>
        <v/>
      </c>
      <c r="BL78" s="0" t="str">
        <f aca="false">IF('Data Input'!R45="","",'Data Input'!R45)</f>
        <v/>
      </c>
      <c r="BM78" s="4" t="n">
        <f aca="false">'Data Input'!S45</f>
        <v>0</v>
      </c>
      <c r="BN78" s="4" t="n">
        <f aca="false">'Data Input'!Y45</f>
        <v>18</v>
      </c>
      <c r="BO78" s="4" t="n">
        <f aca="false">IF($BM78&gt;=1,-999,MAX(($C$1-$A$1)*24,IF($BK78&lt;&gt;"",$BI78,$BP78-'Data Input'!E45)))</f>
        <v>50</v>
      </c>
      <c r="BP78" s="4" t="n">
        <f aca="false">('Data Input'!D45+'Data Input'!Y45/24-$A$1)*24</f>
        <v>52</v>
      </c>
    </row>
    <row r="79" customFormat="false" ht="11.25" hidden="false" customHeight="true" outlineLevel="0" collapsed="false">
      <c r="A79" s="34" t="n">
        <f aca="false">'Data Input'!A46</f>
        <v>20</v>
      </c>
      <c r="B79" s="35" t="str">
        <f aca="false">'Data Input'!B46</f>
        <v>ATW – 2U (out of destressing) (Line 3)</v>
      </c>
      <c r="C79" s="36" t="str">
        <f aca="false">'Data Input'!O46</f>
        <v>Not Started</v>
      </c>
      <c r="D79" s="37" t="n">
        <f aca="false">'Data Input'!D46</f>
        <v>46312.5</v>
      </c>
      <c r="E79" s="38" t="n">
        <f aca="false">'Data Input'!D46+'Data Input'!Y46/24</f>
        <v>46313.25</v>
      </c>
      <c r="F79" s="39" t="n">
        <f aca="false">'Data Input'!Y46</f>
        <v>18</v>
      </c>
      <c r="G79" s="40" t="n">
        <f aca="false">'Data Input'!T46</f>
        <v>0</v>
      </c>
      <c r="H79" s="41" t="n">
        <f aca="false">'Data Input'!S46</f>
        <v>0</v>
      </c>
      <c r="I79" s="21"/>
      <c r="J79" s="42" t="s">
        <v>27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H79" s="4" t="n">
        <f aca="false">('Data Input'!C46-$A$1)*24</f>
        <v>34</v>
      </c>
      <c r="BI79" s="4" t="n">
        <f aca="false">('Data Input'!D46-$A$1)*24</f>
        <v>36</v>
      </c>
      <c r="BJ79" s="0" t="n">
        <v>1</v>
      </c>
      <c r="BO79" s="0" t="n">
        <v>-999</v>
      </c>
      <c r="BP79" s="0" t="n">
        <v>-999</v>
      </c>
    </row>
    <row r="80" customFormat="false" ht="11.25" hidden="false" customHeight="true" outlineLevel="0" collapsed="false">
      <c r="A80" s="34"/>
      <c r="B80" s="34"/>
      <c r="C80" s="36"/>
      <c r="D80" s="37"/>
      <c r="E80" s="37"/>
      <c r="F80" s="39"/>
      <c r="G80" s="40"/>
      <c r="H80" s="40"/>
      <c r="I80" s="40"/>
      <c r="J80" s="42" t="s">
        <v>28</v>
      </c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H80" s="4" t="n">
        <f aca="false">IF($BK80="",-999,($BK80-$A$1)*24)</f>
        <v>-999</v>
      </c>
      <c r="BI80" s="4" t="n">
        <f aca="false">IF($BK80="",-999,(IF($BL80&lt;&gt;"",$BL80,IF($C$1&gt;$BK80,$C$1,$BK80+MAX('Data Input'!E46*$BM80,0.5)/24))-$A$1)*24)</f>
        <v>-999</v>
      </c>
      <c r="BJ80" s="4" t="n">
        <f aca="false">IF($BK80="",0,IF($BM80&gt;=1,IF($BN80&lt;=0,2,3),IF($BN80&lt;=0,4,5)))</f>
        <v>0</v>
      </c>
      <c r="BK80" s="0" t="str">
        <f aca="false">IF('Data Input'!Q46="","",'Data Input'!Q46)</f>
        <v/>
      </c>
      <c r="BL80" s="0" t="str">
        <f aca="false">IF('Data Input'!R46="","",'Data Input'!R46)</f>
        <v/>
      </c>
      <c r="BM80" s="4" t="n">
        <f aca="false">'Data Input'!S46</f>
        <v>0</v>
      </c>
      <c r="BN80" s="4" t="n">
        <f aca="false">'Data Input'!Y46</f>
        <v>18</v>
      </c>
      <c r="BO80" s="4" t="n">
        <f aca="false">IF($BM80&gt;=1,-999,MAX(($C$1-$A$1)*24,IF($BK80&lt;&gt;"",$BI80,$BP80-'Data Input'!E46)))</f>
        <v>52</v>
      </c>
      <c r="BP80" s="4" t="n">
        <f aca="false">('Data Input'!D46+'Data Input'!Y46/24-$A$1)*24</f>
        <v>54</v>
      </c>
    </row>
    <row r="81" customFormat="false" ht="11.25" hidden="false" customHeight="true" outlineLevel="0" collapsed="false">
      <c r="A81" s="34" t="n">
        <f aca="false">'Data Input'!A47</f>
        <v>21</v>
      </c>
      <c r="B81" s="35" t="str">
        <f aca="false">'Data Input'!B47</f>
        <v>1st &amp; 2nd Ballasting / Tamping (Line 3)</v>
      </c>
      <c r="C81" s="36" t="str">
        <f aca="false">'Data Input'!O47</f>
        <v>Not Started</v>
      </c>
      <c r="D81" s="37" t="n">
        <f aca="false">'Data Input'!D47</f>
        <v>46312.5416666667</v>
      </c>
      <c r="E81" s="38" t="n">
        <f aca="false">'Data Input'!D47+'Data Input'!Y47/24</f>
        <v>46313.2916666667</v>
      </c>
      <c r="F81" s="39" t="n">
        <f aca="false">'Data Input'!Y47</f>
        <v>18</v>
      </c>
      <c r="G81" s="40" t="n">
        <f aca="false">'Data Input'!T47</f>
        <v>0</v>
      </c>
      <c r="H81" s="41" t="n">
        <f aca="false">'Data Input'!S47</f>
        <v>0</v>
      </c>
      <c r="I81" s="21"/>
      <c r="J81" s="42" t="s">
        <v>27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H81" s="4" t="n">
        <f aca="false">('Data Input'!C47-$A$1)*24</f>
        <v>36</v>
      </c>
      <c r="BI81" s="4" t="n">
        <f aca="false">('Data Input'!D47-$A$1)*24</f>
        <v>37</v>
      </c>
      <c r="BJ81" s="0" t="n">
        <v>1</v>
      </c>
      <c r="BO81" s="0" t="n">
        <v>-999</v>
      </c>
      <c r="BP81" s="0" t="n">
        <v>-999</v>
      </c>
    </row>
    <row r="82" customFormat="false" ht="11.25" hidden="false" customHeight="true" outlineLevel="0" collapsed="false">
      <c r="A82" s="34"/>
      <c r="B82" s="34"/>
      <c r="C82" s="36"/>
      <c r="D82" s="37"/>
      <c r="E82" s="37"/>
      <c r="F82" s="39"/>
      <c r="G82" s="40"/>
      <c r="H82" s="40"/>
      <c r="I82" s="40"/>
      <c r="J82" s="42" t="s">
        <v>28</v>
      </c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H82" s="4" t="n">
        <f aca="false">IF($BK82="",-999,($BK82-$A$1)*24)</f>
        <v>-999</v>
      </c>
      <c r="BI82" s="4" t="n">
        <f aca="false">IF($BK82="",-999,(IF($BL82&lt;&gt;"",$BL82,IF($C$1&gt;$BK82,$C$1,$BK82+MAX('Data Input'!E47*$BM82,0.5)/24))-$A$1)*24)</f>
        <v>-999</v>
      </c>
      <c r="BJ82" s="4" t="n">
        <f aca="false">IF($BK82="",0,IF($BM82&gt;=1,IF($BN82&lt;=0,2,3),IF($BN82&lt;=0,4,5)))</f>
        <v>0</v>
      </c>
      <c r="BK82" s="0" t="str">
        <f aca="false">IF('Data Input'!Q47="","",'Data Input'!Q47)</f>
        <v/>
      </c>
      <c r="BL82" s="0" t="str">
        <f aca="false">IF('Data Input'!R47="","",'Data Input'!R47)</f>
        <v/>
      </c>
      <c r="BM82" s="4" t="n">
        <f aca="false">'Data Input'!S47</f>
        <v>0</v>
      </c>
      <c r="BN82" s="4" t="n">
        <f aca="false">'Data Input'!Y47</f>
        <v>18</v>
      </c>
      <c r="BO82" s="4" t="n">
        <f aca="false">IF($BM82&gt;=1,-999,MAX(($C$1-$A$1)*24,IF($BK82&lt;&gt;"",$BI82,$BP82-'Data Input'!E47)))</f>
        <v>54</v>
      </c>
      <c r="BP82" s="4" t="n">
        <f aca="false">('Data Input'!D47+'Data Input'!Y47/24-$A$1)*24</f>
        <v>55</v>
      </c>
    </row>
    <row r="83" customFormat="false" ht="11.25" hidden="false" customHeight="true" outlineLevel="0" collapsed="false">
      <c r="A83" s="34" t="n">
        <f aca="false">'Data Input'!A48</f>
        <v>22</v>
      </c>
      <c r="B83" s="35" t="str">
        <f aca="false">'Data Input'!B48</f>
        <v>Final Ballasting / Tamping (Line 3)</v>
      </c>
      <c r="C83" s="36" t="str">
        <f aca="false">'Data Input'!O48</f>
        <v>Not Started</v>
      </c>
      <c r="D83" s="37" t="n">
        <f aca="false">'Data Input'!D48</f>
        <v>46312.5833333333</v>
      </c>
      <c r="E83" s="38" t="n">
        <f aca="false">'Data Input'!D48+'Data Input'!Y48/24</f>
        <v>46313.3333333333</v>
      </c>
      <c r="F83" s="39" t="n">
        <f aca="false">'Data Input'!Y48</f>
        <v>18</v>
      </c>
      <c r="G83" s="40" t="n">
        <f aca="false">'Data Input'!T48</f>
        <v>0</v>
      </c>
      <c r="H83" s="41" t="n">
        <f aca="false">'Data Input'!S48</f>
        <v>0</v>
      </c>
      <c r="I83" s="21"/>
      <c r="J83" s="42" t="s">
        <v>27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H83" s="4" t="n">
        <f aca="false">('Data Input'!C48-$A$1)*24</f>
        <v>37</v>
      </c>
      <c r="BI83" s="4" t="n">
        <f aca="false">('Data Input'!D48-$A$1)*24</f>
        <v>38</v>
      </c>
      <c r="BJ83" s="0" t="n">
        <v>1</v>
      </c>
      <c r="BO83" s="0" t="n">
        <v>-999</v>
      </c>
      <c r="BP83" s="0" t="n">
        <v>-999</v>
      </c>
    </row>
    <row r="84" customFormat="false" ht="11.25" hidden="false" customHeight="true" outlineLevel="0" collapsed="false">
      <c r="A84" s="34"/>
      <c r="B84" s="34"/>
      <c r="C84" s="36"/>
      <c r="D84" s="37"/>
      <c r="E84" s="37"/>
      <c r="F84" s="39"/>
      <c r="G84" s="40"/>
      <c r="H84" s="40"/>
      <c r="I84" s="40"/>
      <c r="J84" s="42" t="s">
        <v>28</v>
      </c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H84" s="4" t="n">
        <f aca="false">IF($BK84="",-999,($BK84-$A$1)*24)</f>
        <v>-999</v>
      </c>
      <c r="BI84" s="4" t="n">
        <f aca="false">IF($BK84="",-999,(IF($BL84&lt;&gt;"",$BL84,IF($C$1&gt;$BK84,$C$1,$BK84+MAX('Data Input'!E48*$BM84,0.5)/24))-$A$1)*24)</f>
        <v>-999</v>
      </c>
      <c r="BJ84" s="4" t="n">
        <f aca="false">IF($BK84="",0,IF($BM84&gt;=1,IF($BN84&lt;=0,2,3),IF($BN84&lt;=0,4,5)))</f>
        <v>0</v>
      </c>
      <c r="BK84" s="0" t="str">
        <f aca="false">IF('Data Input'!Q48="","",'Data Input'!Q48)</f>
        <v/>
      </c>
      <c r="BL84" s="0" t="str">
        <f aca="false">IF('Data Input'!R48="","",'Data Input'!R48)</f>
        <v/>
      </c>
      <c r="BM84" s="4" t="n">
        <f aca="false">'Data Input'!S48</f>
        <v>0</v>
      </c>
      <c r="BN84" s="4" t="n">
        <f aca="false">'Data Input'!Y48</f>
        <v>18</v>
      </c>
      <c r="BO84" s="4" t="n">
        <f aca="false">IF($BM84&gt;=1,-999,MAX(($C$1-$A$1)*24,IF($BK84&lt;&gt;"",$BI84,$BP84-'Data Input'!E48)))</f>
        <v>55</v>
      </c>
      <c r="BP84" s="4" t="n">
        <f aca="false">('Data Input'!D48+'Data Input'!Y48/24-$A$1)*24</f>
        <v>56</v>
      </c>
    </row>
    <row r="85" customFormat="false" ht="11.25" hidden="false" customHeight="true" outlineLevel="0" collapsed="false">
      <c r="A85" s="34" t="n">
        <f aca="false">'Data Input'!A49</f>
        <v>23</v>
      </c>
      <c r="B85" s="35" t="str">
        <f aca="false">'Data Input'!B49</f>
        <v>OTMP back towards station 29</v>
      </c>
      <c r="C85" s="36" t="str">
        <f aca="false">'Data Input'!O49</f>
        <v>Not Started</v>
      </c>
      <c r="D85" s="37" t="n">
        <f aca="false">'Data Input'!D49</f>
        <v>46312.6666666667</v>
      </c>
      <c r="E85" s="38" t="n">
        <f aca="false">'Data Input'!D49+'Data Input'!Y49/24</f>
        <v>46313.4166666667</v>
      </c>
      <c r="F85" s="39" t="n">
        <f aca="false">'Data Input'!Y49</f>
        <v>18</v>
      </c>
      <c r="G85" s="40" t="n">
        <f aca="false">'Data Input'!T49</f>
        <v>0</v>
      </c>
      <c r="H85" s="41" t="n">
        <f aca="false">'Data Input'!S49</f>
        <v>0</v>
      </c>
      <c r="I85" s="21"/>
      <c r="J85" s="42" t="s">
        <v>27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H85" s="4" t="n">
        <f aca="false">('Data Input'!C49-$A$1)*24</f>
        <v>38</v>
      </c>
      <c r="BI85" s="4" t="n">
        <f aca="false">('Data Input'!D49-$A$1)*24</f>
        <v>40</v>
      </c>
      <c r="BJ85" s="0" t="n">
        <v>1</v>
      </c>
      <c r="BO85" s="0" t="n">
        <v>-999</v>
      </c>
      <c r="BP85" s="0" t="n">
        <v>-999</v>
      </c>
    </row>
    <row r="86" customFormat="false" ht="11.25" hidden="false" customHeight="true" outlineLevel="0" collapsed="false">
      <c r="A86" s="34"/>
      <c r="B86" s="34"/>
      <c r="C86" s="36"/>
      <c r="D86" s="37"/>
      <c r="E86" s="37"/>
      <c r="F86" s="39"/>
      <c r="G86" s="40"/>
      <c r="H86" s="40"/>
      <c r="I86" s="40"/>
      <c r="J86" s="42" t="s">
        <v>28</v>
      </c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H86" s="4" t="n">
        <f aca="false">IF($BK86="",-999,($BK86-$A$1)*24)</f>
        <v>-999</v>
      </c>
      <c r="BI86" s="4" t="n">
        <f aca="false">IF($BK86="",-999,(IF($BL86&lt;&gt;"",$BL86,IF($C$1&gt;$BK86,$C$1,$BK86+MAX('Data Input'!E49*$BM86,0.5)/24))-$A$1)*24)</f>
        <v>-999</v>
      </c>
      <c r="BJ86" s="4" t="n">
        <f aca="false">IF($BK86="",0,IF($BM86&gt;=1,IF($BN86&lt;=0,2,3),IF($BN86&lt;=0,4,5)))</f>
        <v>0</v>
      </c>
      <c r="BK86" s="0" t="str">
        <f aca="false">IF('Data Input'!Q49="","",'Data Input'!Q49)</f>
        <v/>
      </c>
      <c r="BL86" s="0" t="str">
        <f aca="false">IF('Data Input'!R49="","",'Data Input'!R49)</f>
        <v/>
      </c>
      <c r="BM86" s="4" t="n">
        <f aca="false">'Data Input'!S49</f>
        <v>0</v>
      </c>
      <c r="BN86" s="4" t="n">
        <f aca="false">'Data Input'!Y49</f>
        <v>18</v>
      </c>
      <c r="BO86" s="4" t="n">
        <f aca="false">IF($BM86&gt;=1,-999,MAX(($C$1-$A$1)*24,IF($BK86&lt;&gt;"",$BI86,$BP86-'Data Input'!E49)))</f>
        <v>56</v>
      </c>
      <c r="BP86" s="4" t="n">
        <f aca="false">('Data Input'!D49+'Data Input'!Y49/24-$A$1)*24</f>
        <v>58</v>
      </c>
    </row>
    <row r="87" customFormat="false" ht="11.25" hidden="false" customHeight="true" outlineLevel="0" collapsed="false">
      <c r="A87" s="34" t="n">
        <f aca="false">'Data Input'!A50</f>
        <v>24</v>
      </c>
      <c r="B87" s="35" t="str">
        <f aca="false">'Data Input'!B50</f>
        <v>Destressing (incl. 2 ATW) (Line 1)</v>
      </c>
      <c r="C87" s="36" t="str">
        <f aca="false">'Data Input'!O50</f>
        <v>Not Started</v>
      </c>
      <c r="D87" s="37" t="n">
        <f aca="false">'Data Input'!D50</f>
        <v>46312.8333333333</v>
      </c>
      <c r="E87" s="38" t="n">
        <f aca="false">'Data Input'!D50+'Data Input'!Y50/24</f>
        <v>46313.5833333333</v>
      </c>
      <c r="F87" s="39" t="n">
        <f aca="false">'Data Input'!Y50</f>
        <v>18</v>
      </c>
      <c r="G87" s="40" t="n">
        <f aca="false">'Data Input'!T50</f>
        <v>0</v>
      </c>
      <c r="H87" s="41" t="n">
        <f aca="false">'Data Input'!S50</f>
        <v>0</v>
      </c>
      <c r="I87" s="21"/>
      <c r="J87" s="42" t="s">
        <v>27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H87" s="4" t="n">
        <f aca="false">('Data Input'!C50-$A$1)*24</f>
        <v>40</v>
      </c>
      <c r="BI87" s="4" t="n">
        <f aca="false">('Data Input'!D50-$A$1)*24</f>
        <v>44</v>
      </c>
      <c r="BJ87" s="0" t="n">
        <v>1</v>
      </c>
      <c r="BO87" s="0" t="n">
        <v>-999</v>
      </c>
      <c r="BP87" s="0" t="n">
        <v>-999</v>
      </c>
    </row>
    <row r="88" customFormat="false" ht="11.25" hidden="false" customHeight="true" outlineLevel="0" collapsed="false">
      <c r="A88" s="34"/>
      <c r="B88" s="34"/>
      <c r="C88" s="36"/>
      <c r="D88" s="37"/>
      <c r="E88" s="37"/>
      <c r="F88" s="39"/>
      <c r="G88" s="40"/>
      <c r="H88" s="40"/>
      <c r="I88" s="40"/>
      <c r="J88" s="42" t="s">
        <v>28</v>
      </c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H88" s="4" t="n">
        <f aca="false">IF($BK88="",-999,($BK88-$A$1)*24)</f>
        <v>-999</v>
      </c>
      <c r="BI88" s="4" t="n">
        <f aca="false">IF($BK88="",-999,(IF($BL88&lt;&gt;"",$BL88,IF($C$1&gt;$BK88,$C$1,$BK88+MAX('Data Input'!E50*$BM88,0.5)/24))-$A$1)*24)</f>
        <v>-999</v>
      </c>
      <c r="BJ88" s="4" t="n">
        <f aca="false">IF($BK88="",0,IF($BM88&gt;=1,IF($BN88&lt;=0,2,3),IF($BN88&lt;=0,4,5)))</f>
        <v>0</v>
      </c>
      <c r="BK88" s="0" t="str">
        <f aca="false">IF('Data Input'!Q50="","",'Data Input'!Q50)</f>
        <v/>
      </c>
      <c r="BL88" s="0" t="str">
        <f aca="false">IF('Data Input'!R50="","",'Data Input'!R50)</f>
        <v/>
      </c>
      <c r="BM88" s="4" t="n">
        <f aca="false">'Data Input'!S50</f>
        <v>0</v>
      </c>
      <c r="BN88" s="4" t="n">
        <f aca="false">'Data Input'!Y50</f>
        <v>18</v>
      </c>
      <c r="BO88" s="4" t="n">
        <f aca="false">IF($BM88&gt;=1,-999,MAX(($C$1-$A$1)*24,IF($BK88&lt;&gt;"",$BI88,$BP88-'Data Input'!E50)))</f>
        <v>58</v>
      </c>
      <c r="BP88" s="4" t="n">
        <f aca="false">('Data Input'!D50+'Data Input'!Y50/24-$A$1)*24</f>
        <v>62</v>
      </c>
    </row>
    <row r="89" customFormat="false" ht="11.25" hidden="false" customHeight="true" outlineLevel="0" collapsed="false">
      <c r="A89" s="34" t="n">
        <f aca="false">'Data Input'!A51</f>
        <v>25</v>
      </c>
      <c r="B89" s="35" t="str">
        <f aca="false">'Data Input'!B51</f>
        <v>Destressing (incl. 2 ATW) (Line 3)</v>
      </c>
      <c r="C89" s="36" t="str">
        <f aca="false">'Data Input'!O51</f>
        <v>Not Started</v>
      </c>
      <c r="D89" s="37" t="n">
        <f aca="false">'Data Input'!D51</f>
        <v>46313</v>
      </c>
      <c r="E89" s="38" t="n">
        <f aca="false">'Data Input'!D51+'Data Input'!Y51/24</f>
        <v>46313.75</v>
      </c>
      <c r="F89" s="39" t="n">
        <f aca="false">'Data Input'!Y51</f>
        <v>18</v>
      </c>
      <c r="G89" s="40" t="n">
        <f aca="false">'Data Input'!T51</f>
        <v>0</v>
      </c>
      <c r="H89" s="41" t="n">
        <f aca="false">'Data Input'!S51</f>
        <v>0</v>
      </c>
      <c r="I89" s="21"/>
      <c r="J89" s="42" t="s">
        <v>27</v>
      </c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H89" s="4" t="n">
        <f aca="false">('Data Input'!C51-$A$1)*24</f>
        <v>44</v>
      </c>
      <c r="BI89" s="4" t="n">
        <f aca="false">('Data Input'!D51-$A$1)*24</f>
        <v>48</v>
      </c>
      <c r="BJ89" s="0" t="n">
        <v>1</v>
      </c>
      <c r="BO89" s="0" t="n">
        <v>-999</v>
      </c>
      <c r="BP89" s="0" t="n">
        <v>-999</v>
      </c>
    </row>
    <row r="90" customFormat="false" ht="11.25" hidden="false" customHeight="true" outlineLevel="0" collapsed="false">
      <c r="A90" s="34"/>
      <c r="B90" s="34"/>
      <c r="C90" s="36"/>
      <c r="D90" s="37"/>
      <c r="E90" s="37"/>
      <c r="F90" s="39"/>
      <c r="G90" s="40"/>
      <c r="H90" s="40"/>
      <c r="I90" s="40"/>
      <c r="J90" s="42" t="s">
        <v>28</v>
      </c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H90" s="4" t="n">
        <f aca="false">IF($BK90="",-999,($BK90-$A$1)*24)</f>
        <v>-999</v>
      </c>
      <c r="BI90" s="4" t="n">
        <f aca="false">IF($BK90="",-999,(IF($BL90&lt;&gt;"",$BL90,IF($C$1&gt;$BK90,$C$1,$BK90+MAX('Data Input'!E51*$BM90,0.5)/24))-$A$1)*24)</f>
        <v>-999</v>
      </c>
      <c r="BJ90" s="4" t="n">
        <f aca="false">IF($BK90="",0,IF($BM90&gt;=1,IF($BN90&lt;=0,2,3),IF($BN90&lt;=0,4,5)))</f>
        <v>0</v>
      </c>
      <c r="BK90" s="0" t="str">
        <f aca="false">IF('Data Input'!Q51="","",'Data Input'!Q51)</f>
        <v/>
      </c>
      <c r="BL90" s="0" t="str">
        <f aca="false">IF('Data Input'!R51="","",'Data Input'!R51)</f>
        <v/>
      </c>
      <c r="BM90" s="4" t="n">
        <f aca="false">'Data Input'!S51</f>
        <v>0</v>
      </c>
      <c r="BN90" s="4" t="n">
        <f aca="false">'Data Input'!Y51</f>
        <v>18</v>
      </c>
      <c r="BO90" s="4" t="n">
        <f aca="false">IF($BM90&gt;=1,-999,MAX(($C$1-$A$1)*24,IF($BK90&lt;&gt;"",$BI90,$BP90-'Data Input'!E51)))</f>
        <v>62</v>
      </c>
      <c r="BP90" s="4" t="n">
        <f aca="false">('Data Input'!D51+'Data Input'!Y51/24-$A$1)*24</f>
        <v>66</v>
      </c>
    </row>
    <row r="91" customFormat="false" ht="11.25" hidden="false" customHeight="true" outlineLevel="0" collapsed="false">
      <c r="A91" s="34" t="n">
        <f aca="false">'Data Input'!A52</f>
        <v>26</v>
      </c>
      <c r="B91" s="35" t="str">
        <f aca="false">'Data Input'!B52</f>
        <v>Finishing (grinding, stamp, UT, inspection)</v>
      </c>
      <c r="C91" s="36" t="str">
        <f aca="false">'Data Input'!O52</f>
        <v>Not Started</v>
      </c>
      <c r="D91" s="37" t="n">
        <f aca="false">'Data Input'!D52</f>
        <v>46313.0416666667</v>
      </c>
      <c r="E91" s="38" t="n">
        <f aca="false">'Data Input'!D52+'Data Input'!Y52/24</f>
        <v>46313.7916666667</v>
      </c>
      <c r="F91" s="39" t="n">
        <f aca="false">'Data Input'!Y52</f>
        <v>18</v>
      </c>
      <c r="G91" s="40" t="n">
        <f aca="false">'Data Input'!T52</f>
        <v>0</v>
      </c>
      <c r="H91" s="41" t="n">
        <f aca="false">'Data Input'!S52</f>
        <v>0</v>
      </c>
      <c r="I91" s="21"/>
      <c r="J91" s="42" t="s">
        <v>27</v>
      </c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H91" s="4" t="n">
        <f aca="false">('Data Input'!C52-$A$1)*24</f>
        <v>48</v>
      </c>
      <c r="BI91" s="4" t="n">
        <f aca="false">('Data Input'!D52-$A$1)*24</f>
        <v>49</v>
      </c>
      <c r="BJ91" s="0" t="n">
        <v>1</v>
      </c>
      <c r="BO91" s="0" t="n">
        <v>-999</v>
      </c>
      <c r="BP91" s="0" t="n">
        <v>-999</v>
      </c>
    </row>
    <row r="92" customFormat="false" ht="11.25" hidden="false" customHeight="true" outlineLevel="0" collapsed="false">
      <c r="A92" s="34"/>
      <c r="B92" s="34"/>
      <c r="C92" s="36"/>
      <c r="D92" s="37"/>
      <c r="E92" s="37"/>
      <c r="F92" s="39"/>
      <c r="G92" s="40"/>
      <c r="H92" s="40"/>
      <c r="I92" s="40"/>
      <c r="J92" s="42" t="s">
        <v>28</v>
      </c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H92" s="4" t="n">
        <f aca="false">IF($BK92="",-999,($BK92-$A$1)*24)</f>
        <v>-999</v>
      </c>
      <c r="BI92" s="4" t="n">
        <f aca="false">IF($BK92="",-999,(IF($BL92&lt;&gt;"",$BL92,IF($C$1&gt;$BK92,$C$1,$BK92+MAX('Data Input'!E52*$BM92,0.5)/24))-$A$1)*24)</f>
        <v>-999</v>
      </c>
      <c r="BJ92" s="4" t="n">
        <f aca="false">IF($BK92="",0,IF($BM92&gt;=1,IF($BN92&lt;=0,2,3),IF($BN92&lt;=0,4,5)))</f>
        <v>0</v>
      </c>
      <c r="BK92" s="0" t="str">
        <f aca="false">IF('Data Input'!Q52="","",'Data Input'!Q52)</f>
        <v/>
      </c>
      <c r="BL92" s="0" t="str">
        <f aca="false">IF('Data Input'!R52="","",'Data Input'!R52)</f>
        <v/>
      </c>
      <c r="BM92" s="4" t="n">
        <f aca="false">'Data Input'!S52</f>
        <v>0</v>
      </c>
      <c r="BN92" s="4" t="n">
        <f aca="false">'Data Input'!Y52</f>
        <v>18</v>
      </c>
      <c r="BO92" s="4" t="n">
        <f aca="false">IF($BM92&gt;=1,-999,MAX(($C$1-$A$1)*24,IF($BK92&lt;&gt;"",$BI92,$BP92-'Data Input'!E52)))</f>
        <v>66</v>
      </c>
      <c r="BP92" s="4" t="n">
        <f aca="false">('Data Input'!D52+'Data Input'!Y52/24-$A$1)*24</f>
        <v>67</v>
      </c>
    </row>
    <row r="93" customFormat="false" ht="21" hidden="false" customHeight="true" outlineLevel="0" collapsed="false">
      <c r="A93" s="45" t="str">
        <f aca="false">"  TOTAL  -  "&amp;'Data Input'!$B$15</f>
        <v>  TOTAL  -  C263  –  KM 209+025</v>
      </c>
      <c r="B93" s="45"/>
      <c r="C93" s="46" t="str">
        <f aca="false">C13</f>
        <v>AT RISK</v>
      </c>
      <c r="D93" s="24" t="n">
        <f aca="false">D13</f>
        <v>46313.0416666667</v>
      </c>
      <c r="E93" s="24" t="n">
        <f aca="false">E13</f>
        <v>46313.7916666667</v>
      </c>
      <c r="F93" s="25" t="n">
        <f aca="false">F13</f>
        <v>18</v>
      </c>
      <c r="G93" s="47" t="n">
        <f aca="false">G13</f>
        <v>0.392156862745098</v>
      </c>
      <c r="H93" s="48" t="n">
        <f aca="false">H13</f>
        <v>0</v>
      </c>
      <c r="I93" s="49" t="n">
        <f aca="false">I13</f>
        <v>-19</v>
      </c>
      <c r="J93" s="50"/>
      <c r="K93" s="51" t="str">
        <f aca="false">"TOTAL  "&amp;TEXT(SUM('Data Input'!E27:E52),"0.0")&amp;" activity hours          Possession elapsed  "&amp;TEXT(MEDIAN(0,($C$1-$A$1)*24,($B$1-$A$1)*24),"0.0")&amp;"  of  "&amp;TEXT(($B$1-$A$1)*24,"0.0")&amp;" h          Report cut-off  "&amp;TEXT($C$1,"ddd dd-mmm hh:mm")</f>
        <v>TOTAL  51.0 activity hours          Possession elapsed  18.0  of  48.0 h          Report cut-off  Fri 16-Oct 18:00</v>
      </c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</row>
    <row r="94" customFormat="false" ht="15.75" hidden="false" customHeight="true" outlineLevel="0" collapsed="false">
      <c r="A94" s="52"/>
      <c r="B94" s="53" t="s">
        <v>29</v>
      </c>
      <c r="C94" s="53"/>
      <c r="D94" s="54" t="s">
        <v>30</v>
      </c>
      <c r="E94" s="54"/>
      <c r="F94" s="54"/>
      <c r="G94" s="54" t="s">
        <v>31</v>
      </c>
      <c r="H94" s="54"/>
      <c r="I94" s="54"/>
      <c r="O94" s="55"/>
      <c r="P94" s="53" t="s">
        <v>32</v>
      </c>
      <c r="Q94" s="53"/>
      <c r="R94" s="53"/>
      <c r="S94" s="53"/>
      <c r="T94" s="53"/>
      <c r="U94" s="53"/>
      <c r="V94" s="53"/>
      <c r="X94" s="56"/>
      <c r="Y94" s="53" t="s">
        <v>33</v>
      </c>
      <c r="Z94" s="53"/>
      <c r="AA94" s="53"/>
      <c r="AB94" s="53"/>
      <c r="AC94" s="53"/>
      <c r="AD94" s="53"/>
      <c r="AE94" s="53"/>
      <c r="AG94" s="57"/>
      <c r="AH94" s="53" t="s">
        <v>34</v>
      </c>
      <c r="AI94" s="53"/>
      <c r="AJ94" s="53"/>
      <c r="AK94" s="53"/>
      <c r="AL94" s="53"/>
      <c r="AM94" s="53"/>
      <c r="AN94" s="53"/>
      <c r="AP94" s="58"/>
      <c r="AQ94" s="53" t="s">
        <v>35</v>
      </c>
      <c r="AR94" s="53"/>
      <c r="AS94" s="53"/>
      <c r="AT94" s="53"/>
      <c r="AU94" s="53"/>
      <c r="AV94" s="53"/>
      <c r="AW94" s="53"/>
      <c r="AY94" s="59"/>
      <c r="AZ94" s="53" t="s">
        <v>36</v>
      </c>
      <c r="BA94" s="53"/>
      <c r="BB94" s="53"/>
      <c r="BC94" s="53"/>
      <c r="BD94" s="53"/>
      <c r="BE94" s="53"/>
      <c r="BF94" s="53"/>
    </row>
    <row r="96" customFormat="false" ht="25.5" hidden="false" customHeight="true" outlineLevel="0" collapsed="false">
      <c r="A96" s="29" t="s">
        <v>37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</row>
    <row r="97" customFormat="false" ht="21.75" hidden="false" customHeight="true" outlineLevel="0" collapsed="false">
      <c r="A97" s="30" t="str">
        <f aca="false">"   3 cells        ACTUAL  "&amp;TEXT(H14,"0%")&amp;"        PLANNED  "&amp;TEXT(G14,"0%")&amp;"        PLAN FINISH  "&amp;TEXT(D14,"ddd dd-mmm hh:mm")</f>
        <v>   3 cells        ACTUAL  0%        PLANNED  42%        PLAN FINISH  Sat 17-Oct 22:00</v>
      </c>
      <c r="B97" s="30"/>
      <c r="C97" s="30"/>
      <c r="D97" s="30"/>
      <c r="E97" s="30"/>
      <c r="F97" s="30"/>
      <c r="G97" s="30"/>
      <c r="H97" s="30"/>
      <c r="I97" s="30"/>
      <c r="K97" s="31" t="str">
        <f aca="false">C14&amp;"        FORECAST  "&amp;TEXT(E14,"ddd dd-mmm hh:mm")&amp;"        "&amp;TEXT(ABS(F14),"0.0")&amp;IF(F14&gt;0," h LATE",IF(F14&lt;0," h EARLY"," h"))</f>
        <v>AT RISK        FORECAST  Sun 18-Oct 16:00        18.0 h LATE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</row>
    <row r="98" customFormat="false" ht="27.75" hidden="false" customHeight="true" outlineLevel="0" collapsed="false">
      <c r="A98" s="11" t="s">
        <v>24</v>
      </c>
      <c r="B98" s="11" t="s">
        <v>25</v>
      </c>
      <c r="C98" s="11" t="s">
        <v>8</v>
      </c>
      <c r="D98" s="11" t="s">
        <v>9</v>
      </c>
      <c r="E98" s="11" t="s">
        <v>10</v>
      </c>
      <c r="F98" s="11" t="s">
        <v>11</v>
      </c>
      <c r="G98" s="11" t="s">
        <v>12</v>
      </c>
      <c r="H98" s="11" t="s">
        <v>26</v>
      </c>
      <c r="I98" s="11" t="s">
        <v>14</v>
      </c>
      <c r="K98" s="32" t="str">
        <f aca="false">UPPER(TEXT($A$1+($D$1+0*$E$1)/24,"ddd  dd-mmm  hh:mm")&amp;"  to  "&amp;TEXT($A$1+($D$1+24*$E$1)/24,"ddd  dd-mmm  hh:mm"))</f>
        <v>FRI  16-OCT  00:00  TO  SAT  17-OCT  00:00</v>
      </c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 t="str">
        <f aca="false">UPPER(TEXT($A$1+($D$1+24*$E$1)/24,"ddd  dd-mmm  hh:mm")&amp;"  to  "&amp;TEXT($A$1+($D$1+48*$E$1)/24,"ddd  dd-mmm  hh:mm"))</f>
        <v>SAT  17-OCT  00:00  TO  SUN  18-OCT  00:00</v>
      </c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</row>
    <row r="99" customFormat="false" ht="15.75" hidden="false" customHeight="true" outlineLevel="0" collapsed="false">
      <c r="K99" s="33" t="str">
        <f aca="false">TEXT($A$1+($D$1+0*$E$1)/24,"hh:mm")&amp;" - "&amp;TEXT($A$1+($D$1+6*$E$1)/24,"hh:mm")</f>
        <v>00:00 - 06:00</v>
      </c>
      <c r="L99" s="33"/>
      <c r="M99" s="33"/>
      <c r="N99" s="33"/>
      <c r="O99" s="33"/>
      <c r="P99" s="33"/>
      <c r="Q99" s="33" t="str">
        <f aca="false">TEXT($A$1+($D$1+6*$E$1)/24,"hh:mm")&amp;" - "&amp;TEXT($A$1+($D$1+12*$E$1)/24,"hh:mm")</f>
        <v>06:00 - 12:00</v>
      </c>
      <c r="R99" s="33"/>
      <c r="S99" s="33"/>
      <c r="T99" s="33"/>
      <c r="U99" s="33"/>
      <c r="V99" s="33"/>
      <c r="W99" s="33" t="str">
        <f aca="false">TEXT($A$1+($D$1+12*$E$1)/24,"hh:mm")&amp;" - "&amp;TEXT($A$1+($D$1+18*$E$1)/24,"hh:mm")</f>
        <v>12:00 - 18:00</v>
      </c>
      <c r="X99" s="33"/>
      <c r="Y99" s="33"/>
      <c r="Z99" s="33"/>
      <c r="AA99" s="33"/>
      <c r="AB99" s="33"/>
      <c r="AC99" s="33" t="str">
        <f aca="false">TEXT($A$1+($D$1+18*$E$1)/24,"hh:mm")&amp;" - "&amp;TEXT($A$1+($D$1+24*$E$1)/24,"hh:mm")</f>
        <v>18:00 - 00:00</v>
      </c>
      <c r="AD99" s="33"/>
      <c r="AE99" s="33"/>
      <c r="AF99" s="33"/>
      <c r="AG99" s="33"/>
      <c r="AH99" s="33"/>
      <c r="AI99" s="33" t="str">
        <f aca="false">TEXT($A$1+($D$1+24*$E$1)/24,"hh:mm")&amp;" - "&amp;TEXT($A$1+($D$1+30*$E$1)/24,"hh:mm")</f>
        <v>00:00 - 06:00</v>
      </c>
      <c r="AJ99" s="33"/>
      <c r="AK99" s="33"/>
      <c r="AL99" s="33"/>
      <c r="AM99" s="33"/>
      <c r="AN99" s="33"/>
      <c r="AO99" s="33" t="str">
        <f aca="false">TEXT($A$1+($D$1+30*$E$1)/24,"hh:mm")&amp;" - "&amp;TEXT($A$1+($D$1+36*$E$1)/24,"hh:mm")</f>
        <v>06:00 - 12:00</v>
      </c>
      <c r="AP99" s="33"/>
      <c r="AQ99" s="33"/>
      <c r="AR99" s="33"/>
      <c r="AS99" s="33"/>
      <c r="AT99" s="33"/>
      <c r="AU99" s="33" t="str">
        <f aca="false">TEXT($A$1+($D$1+36*$E$1)/24,"hh:mm")&amp;" - "&amp;TEXT($A$1+($D$1+42*$E$1)/24,"hh:mm")</f>
        <v>12:00 - 18:00</v>
      </c>
      <c r="AV99" s="33"/>
      <c r="AW99" s="33"/>
      <c r="AX99" s="33"/>
      <c r="AY99" s="33"/>
      <c r="AZ99" s="33"/>
      <c r="BA99" s="33" t="str">
        <f aca="false">TEXT($A$1+($D$1+42*$E$1)/24,"hh:mm")&amp;" - "&amp;TEXT($A$1+($D$1+48*$E$1)/24,"hh:mm")</f>
        <v>18:00 - 00:00</v>
      </c>
      <c r="BB99" s="33"/>
      <c r="BC99" s="33"/>
      <c r="BD99" s="33"/>
      <c r="BE99" s="33"/>
      <c r="BF99" s="33"/>
    </row>
    <row r="100" customFormat="false" ht="11.25" hidden="false" customHeight="true" outlineLevel="0" collapsed="false">
      <c r="A100" s="34" t="n">
        <f aca="false">'Data Input'!A57</f>
        <v>1</v>
      </c>
      <c r="B100" s="35" t="str">
        <f aca="false">'Data Input'!B57</f>
        <v>OTMP moves from station 29 to Main Line 1</v>
      </c>
      <c r="C100" s="36" t="str">
        <f aca="false">'Data Input'!O57</f>
        <v>NOT STARTED - LATE</v>
      </c>
      <c r="D100" s="37" t="n">
        <f aca="false">'Data Input'!D57</f>
        <v>46311.0416666667</v>
      </c>
      <c r="E100" s="38" t="n">
        <f aca="false">'Data Input'!D57+'Data Input'!Y57/24</f>
        <v>46311.7916666667</v>
      </c>
      <c r="F100" s="39" t="n">
        <f aca="false">'Data Input'!Y57</f>
        <v>18</v>
      </c>
      <c r="G100" s="40" t="n">
        <f aca="false">'Data Input'!T57</f>
        <v>1</v>
      </c>
      <c r="H100" s="41" t="n">
        <f aca="false">'Data Input'!S57</f>
        <v>0</v>
      </c>
      <c r="I100" s="21"/>
      <c r="J100" s="42" t="s">
        <v>27</v>
      </c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H100" s="4" t="n">
        <f aca="false">('Data Input'!C57-$A$1)*24</f>
        <v>0</v>
      </c>
      <c r="BI100" s="4" t="n">
        <f aca="false">('Data Input'!D57-$A$1)*24</f>
        <v>1</v>
      </c>
      <c r="BJ100" s="0" t="n">
        <v>1</v>
      </c>
      <c r="BO100" s="0" t="n">
        <v>-999</v>
      </c>
      <c r="BP100" s="0" t="n">
        <v>-999</v>
      </c>
    </row>
    <row r="101" customFormat="false" ht="11.25" hidden="false" customHeight="true" outlineLevel="0" collapsed="false">
      <c r="A101" s="34"/>
      <c r="B101" s="34"/>
      <c r="C101" s="36"/>
      <c r="D101" s="37"/>
      <c r="E101" s="37"/>
      <c r="F101" s="39"/>
      <c r="G101" s="40"/>
      <c r="H101" s="40"/>
      <c r="I101" s="40"/>
      <c r="J101" s="42" t="s">
        <v>28</v>
      </c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H101" s="4" t="n">
        <f aca="false">IF($BK101="",-999,($BK101-$A$1)*24)</f>
        <v>-999</v>
      </c>
      <c r="BI101" s="4" t="n">
        <f aca="false">IF($BK101="",-999,(IF($BL101&lt;&gt;"",$BL101,IF($C$1&gt;$BK101,$C$1,$BK101+MAX('Data Input'!E57*$BM101,0.5)/24))-$A$1)*24)</f>
        <v>-999</v>
      </c>
      <c r="BJ101" s="4" t="n">
        <f aca="false">IF($BK101="",0,IF($BM101&gt;=1,IF($BN101&lt;=0,2,3),IF($BN101&lt;=0,4,5)))</f>
        <v>0</v>
      </c>
      <c r="BK101" s="0" t="str">
        <f aca="false">IF('Data Input'!Q57="","",'Data Input'!Q57)</f>
        <v/>
      </c>
      <c r="BL101" s="0" t="str">
        <f aca="false">IF('Data Input'!R57="","",'Data Input'!R57)</f>
        <v/>
      </c>
      <c r="BM101" s="4" t="n">
        <f aca="false">'Data Input'!S57</f>
        <v>0</v>
      </c>
      <c r="BN101" s="4" t="n">
        <f aca="false">'Data Input'!Y57</f>
        <v>18</v>
      </c>
      <c r="BO101" s="4" t="n">
        <f aca="false">IF($BM101&gt;=1,-999,MAX(($C$1-$A$1)*24,IF($BK101&lt;&gt;"",$BI101,$BP101-'Data Input'!E57)))</f>
        <v>18</v>
      </c>
      <c r="BP101" s="4" t="n">
        <f aca="false">('Data Input'!D57+'Data Input'!Y57/24-$A$1)*24</f>
        <v>19</v>
      </c>
    </row>
    <row r="102" customFormat="false" ht="11.25" hidden="false" customHeight="true" outlineLevel="0" collapsed="false">
      <c r="A102" s="34" t="n">
        <f aca="false">'Data Input'!A58</f>
        <v>2</v>
      </c>
      <c r="B102" s="35" t="str">
        <f aca="false">'Data Input'!B58</f>
        <v>Track removal &amp; panel evacuation (Line 1)</v>
      </c>
      <c r="C102" s="36" t="str">
        <f aca="false">'Data Input'!O58</f>
        <v>NOT STARTED - LATE</v>
      </c>
      <c r="D102" s="37" t="n">
        <f aca="false">'Data Input'!D58</f>
        <v>46311.0833333333</v>
      </c>
      <c r="E102" s="38" t="n">
        <f aca="false">'Data Input'!D58+'Data Input'!Y58/24</f>
        <v>46311.8333333333</v>
      </c>
      <c r="F102" s="39" t="n">
        <f aca="false">'Data Input'!Y58</f>
        <v>18</v>
      </c>
      <c r="G102" s="40" t="n">
        <f aca="false">'Data Input'!T58</f>
        <v>1</v>
      </c>
      <c r="H102" s="41" t="n">
        <f aca="false">'Data Input'!S58</f>
        <v>0</v>
      </c>
      <c r="I102" s="21"/>
      <c r="J102" s="42" t="s">
        <v>27</v>
      </c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H102" s="4" t="n">
        <f aca="false">('Data Input'!C58-$A$1)*24</f>
        <v>1</v>
      </c>
      <c r="BI102" s="4" t="n">
        <f aca="false">('Data Input'!D58-$A$1)*24</f>
        <v>2</v>
      </c>
      <c r="BJ102" s="0" t="n">
        <v>1</v>
      </c>
      <c r="BO102" s="0" t="n">
        <v>-999</v>
      </c>
      <c r="BP102" s="0" t="n">
        <v>-999</v>
      </c>
    </row>
    <row r="103" customFormat="false" ht="11.25" hidden="false" customHeight="true" outlineLevel="0" collapsed="false">
      <c r="A103" s="34"/>
      <c r="B103" s="34"/>
      <c r="C103" s="36"/>
      <c r="D103" s="37"/>
      <c r="E103" s="37"/>
      <c r="F103" s="39"/>
      <c r="G103" s="40"/>
      <c r="H103" s="40"/>
      <c r="I103" s="40"/>
      <c r="J103" s="42" t="s">
        <v>28</v>
      </c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H103" s="4" t="n">
        <f aca="false">IF($BK103="",-999,($BK103-$A$1)*24)</f>
        <v>-999</v>
      </c>
      <c r="BI103" s="4" t="n">
        <f aca="false">IF($BK103="",-999,(IF($BL103&lt;&gt;"",$BL103,IF($C$1&gt;$BK103,$C$1,$BK103+MAX('Data Input'!E58*$BM103,0.5)/24))-$A$1)*24)</f>
        <v>-999</v>
      </c>
      <c r="BJ103" s="4" t="n">
        <f aca="false">IF($BK103="",0,IF($BM103&gt;=1,IF($BN103&lt;=0,2,3),IF($BN103&lt;=0,4,5)))</f>
        <v>0</v>
      </c>
      <c r="BK103" s="0" t="str">
        <f aca="false">IF('Data Input'!Q58="","",'Data Input'!Q58)</f>
        <v/>
      </c>
      <c r="BL103" s="0" t="str">
        <f aca="false">IF('Data Input'!R58="","",'Data Input'!R58)</f>
        <v/>
      </c>
      <c r="BM103" s="4" t="n">
        <f aca="false">'Data Input'!S58</f>
        <v>0</v>
      </c>
      <c r="BN103" s="4" t="n">
        <f aca="false">'Data Input'!Y58</f>
        <v>18</v>
      </c>
      <c r="BO103" s="4" t="n">
        <f aca="false">IF($BM103&gt;=1,-999,MAX(($C$1-$A$1)*24,IF($BK103&lt;&gt;"",$BI103,$BP103-'Data Input'!E58)))</f>
        <v>19</v>
      </c>
      <c r="BP103" s="4" t="n">
        <f aca="false">('Data Input'!D58+'Data Input'!Y58/24-$A$1)*24</f>
        <v>20</v>
      </c>
    </row>
    <row r="104" customFormat="false" ht="11.25" hidden="false" customHeight="true" outlineLevel="0" collapsed="false">
      <c r="A104" s="34" t="n">
        <f aca="false">'Data Input'!A59</f>
        <v>3</v>
      </c>
      <c r="B104" s="35" t="str">
        <f aca="false">'Data Input'!B59</f>
        <v>Track removal &amp; panel evacuation (Line 3)</v>
      </c>
      <c r="C104" s="36" t="str">
        <f aca="false">'Data Input'!O59</f>
        <v>NOT STARTED - LATE</v>
      </c>
      <c r="D104" s="37" t="n">
        <f aca="false">'Data Input'!D59</f>
        <v>46311.0416666667</v>
      </c>
      <c r="E104" s="38" t="n">
        <f aca="false">'Data Input'!D59+'Data Input'!Y59/24</f>
        <v>46311.7916666667</v>
      </c>
      <c r="F104" s="39" t="n">
        <f aca="false">'Data Input'!Y59</f>
        <v>18</v>
      </c>
      <c r="G104" s="40" t="n">
        <f aca="false">'Data Input'!T59</f>
        <v>1</v>
      </c>
      <c r="H104" s="41" t="n">
        <f aca="false">'Data Input'!S59</f>
        <v>0</v>
      </c>
      <c r="I104" s="21"/>
      <c r="J104" s="42" t="s">
        <v>27</v>
      </c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H104" s="4" t="n">
        <f aca="false">('Data Input'!C59-$A$1)*24</f>
        <v>0</v>
      </c>
      <c r="BI104" s="4" t="n">
        <f aca="false">('Data Input'!D59-$A$1)*24</f>
        <v>1</v>
      </c>
      <c r="BJ104" s="0" t="n">
        <v>1</v>
      </c>
      <c r="BO104" s="0" t="n">
        <v>-999</v>
      </c>
      <c r="BP104" s="0" t="n">
        <v>-999</v>
      </c>
    </row>
    <row r="105" customFormat="false" ht="11.25" hidden="false" customHeight="true" outlineLevel="0" collapsed="false">
      <c r="A105" s="34"/>
      <c r="B105" s="34"/>
      <c r="C105" s="36"/>
      <c r="D105" s="37"/>
      <c r="E105" s="37"/>
      <c r="F105" s="39"/>
      <c r="G105" s="40"/>
      <c r="H105" s="40"/>
      <c r="I105" s="40"/>
      <c r="J105" s="42" t="s">
        <v>28</v>
      </c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H105" s="4" t="n">
        <f aca="false">IF($BK105="",-999,($BK105-$A$1)*24)</f>
        <v>-999</v>
      </c>
      <c r="BI105" s="4" t="n">
        <f aca="false">IF($BK105="",-999,(IF($BL105&lt;&gt;"",$BL105,IF($C$1&gt;$BK105,$C$1,$BK105+MAX('Data Input'!E59*$BM105,0.5)/24))-$A$1)*24)</f>
        <v>-999</v>
      </c>
      <c r="BJ105" s="4" t="n">
        <f aca="false">IF($BK105="",0,IF($BM105&gt;=1,IF($BN105&lt;=0,2,3),IF($BN105&lt;=0,4,5)))</f>
        <v>0</v>
      </c>
      <c r="BK105" s="0" t="str">
        <f aca="false">IF('Data Input'!Q59="","",'Data Input'!Q59)</f>
        <v/>
      </c>
      <c r="BL105" s="0" t="str">
        <f aca="false">IF('Data Input'!R59="","",'Data Input'!R59)</f>
        <v/>
      </c>
      <c r="BM105" s="4" t="n">
        <f aca="false">'Data Input'!S59</f>
        <v>0</v>
      </c>
      <c r="BN105" s="4" t="n">
        <f aca="false">'Data Input'!Y59</f>
        <v>18</v>
      </c>
      <c r="BO105" s="4" t="n">
        <f aca="false">IF($BM105&gt;=1,-999,MAX(($C$1-$A$1)*24,IF($BK105&lt;&gt;"",$BI105,$BP105-'Data Input'!E59)))</f>
        <v>18</v>
      </c>
      <c r="BP105" s="4" t="n">
        <f aca="false">('Data Input'!D59+'Data Input'!Y59/24-$A$1)*24</f>
        <v>19</v>
      </c>
    </row>
    <row r="106" customFormat="false" ht="11.25" hidden="false" customHeight="true" outlineLevel="0" collapsed="false">
      <c r="A106" s="34" t="n">
        <f aca="false">'Data Input'!A60</f>
        <v>4</v>
      </c>
      <c r="B106" s="35" t="str">
        <f aca="false">'Data Input'!B60</f>
        <v>Ballast removal</v>
      </c>
      <c r="C106" s="36" t="str">
        <f aca="false">'Data Input'!O60</f>
        <v>NOT STARTED - LATE</v>
      </c>
      <c r="D106" s="37" t="n">
        <f aca="false">'Data Input'!D60</f>
        <v>46311.0833333333</v>
      </c>
      <c r="E106" s="38" t="n">
        <f aca="false">'Data Input'!D60+'Data Input'!Y60/24</f>
        <v>46311.8333333333</v>
      </c>
      <c r="F106" s="39" t="n">
        <f aca="false">'Data Input'!Y60</f>
        <v>18</v>
      </c>
      <c r="G106" s="40" t="n">
        <f aca="false">'Data Input'!T60</f>
        <v>1</v>
      </c>
      <c r="H106" s="41" t="n">
        <f aca="false">'Data Input'!S60</f>
        <v>0</v>
      </c>
      <c r="I106" s="21"/>
      <c r="J106" s="42" t="s">
        <v>27</v>
      </c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H106" s="4" t="n">
        <f aca="false">('Data Input'!C60-$A$1)*24</f>
        <v>1</v>
      </c>
      <c r="BI106" s="4" t="n">
        <f aca="false">('Data Input'!D60-$A$1)*24</f>
        <v>2</v>
      </c>
      <c r="BJ106" s="0" t="n">
        <v>1</v>
      </c>
      <c r="BO106" s="0" t="n">
        <v>-999</v>
      </c>
      <c r="BP106" s="0" t="n">
        <v>-999</v>
      </c>
    </row>
    <row r="107" customFormat="false" ht="11.25" hidden="false" customHeight="true" outlineLevel="0" collapsed="false">
      <c r="A107" s="34"/>
      <c r="B107" s="34"/>
      <c r="C107" s="36"/>
      <c r="D107" s="37"/>
      <c r="E107" s="37"/>
      <c r="F107" s="39"/>
      <c r="G107" s="40"/>
      <c r="H107" s="40"/>
      <c r="I107" s="40"/>
      <c r="J107" s="42" t="s">
        <v>28</v>
      </c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H107" s="4" t="n">
        <f aca="false">IF($BK107="",-999,($BK107-$A$1)*24)</f>
        <v>-999</v>
      </c>
      <c r="BI107" s="4" t="n">
        <f aca="false">IF($BK107="",-999,(IF($BL107&lt;&gt;"",$BL107,IF($C$1&gt;$BK107,$C$1,$BK107+MAX('Data Input'!E60*$BM107,0.5)/24))-$A$1)*24)</f>
        <v>-999</v>
      </c>
      <c r="BJ107" s="4" t="n">
        <f aca="false">IF($BK107="",0,IF($BM107&gt;=1,IF($BN107&lt;=0,2,3),IF($BN107&lt;=0,4,5)))</f>
        <v>0</v>
      </c>
      <c r="BK107" s="0" t="str">
        <f aca="false">IF('Data Input'!Q60="","",'Data Input'!Q60)</f>
        <v/>
      </c>
      <c r="BL107" s="0" t="str">
        <f aca="false">IF('Data Input'!R60="","",'Data Input'!R60)</f>
        <v/>
      </c>
      <c r="BM107" s="4" t="n">
        <f aca="false">'Data Input'!S60</f>
        <v>0</v>
      </c>
      <c r="BN107" s="4" t="n">
        <f aca="false">'Data Input'!Y60</f>
        <v>18</v>
      </c>
      <c r="BO107" s="4" t="n">
        <f aca="false">IF($BM107&gt;=1,-999,MAX(($C$1-$A$1)*24,IF($BK107&lt;&gt;"",$BI107,$BP107-'Data Input'!E60)))</f>
        <v>19</v>
      </c>
      <c r="BP107" s="4" t="n">
        <f aca="false">('Data Input'!D60+'Data Input'!Y60/24-$A$1)*24</f>
        <v>20</v>
      </c>
    </row>
    <row r="108" customFormat="false" ht="11.25" hidden="false" customHeight="true" outlineLevel="0" collapsed="false">
      <c r="A108" s="34" t="n">
        <f aca="false">'Data Input'!A61</f>
        <v>5</v>
      </c>
      <c r="B108" s="35" t="str">
        <f aca="false">'Data Input'!B61</f>
        <v>Cutting &amp; removal around existing culvert</v>
      </c>
      <c r="C108" s="36" t="str">
        <f aca="false">'Data Input'!O61</f>
        <v>NOT STARTED - LATE</v>
      </c>
      <c r="D108" s="37" t="n">
        <f aca="false">'Data Input'!D61</f>
        <v>46311.1666666667</v>
      </c>
      <c r="E108" s="38" t="n">
        <f aca="false">'Data Input'!D61+'Data Input'!Y61/24</f>
        <v>46311.9166666667</v>
      </c>
      <c r="F108" s="39" t="n">
        <f aca="false">'Data Input'!Y61</f>
        <v>18</v>
      </c>
      <c r="G108" s="40" t="n">
        <f aca="false">'Data Input'!T61</f>
        <v>1</v>
      </c>
      <c r="H108" s="41" t="n">
        <f aca="false">'Data Input'!S61</f>
        <v>0</v>
      </c>
      <c r="I108" s="21"/>
      <c r="J108" s="42" t="s">
        <v>27</v>
      </c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H108" s="4" t="n">
        <f aca="false">('Data Input'!C61-$A$1)*24</f>
        <v>2</v>
      </c>
      <c r="BI108" s="4" t="n">
        <f aca="false">('Data Input'!D61-$A$1)*24</f>
        <v>4</v>
      </c>
      <c r="BJ108" s="0" t="n">
        <v>1</v>
      </c>
      <c r="BO108" s="0" t="n">
        <v>-999</v>
      </c>
      <c r="BP108" s="0" t="n">
        <v>-999</v>
      </c>
    </row>
    <row r="109" customFormat="false" ht="11.25" hidden="false" customHeight="true" outlineLevel="0" collapsed="false">
      <c r="A109" s="34"/>
      <c r="B109" s="34"/>
      <c r="C109" s="36"/>
      <c r="D109" s="37"/>
      <c r="E109" s="37"/>
      <c r="F109" s="39"/>
      <c r="G109" s="40"/>
      <c r="H109" s="40"/>
      <c r="I109" s="40"/>
      <c r="J109" s="42" t="s">
        <v>28</v>
      </c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H109" s="4" t="n">
        <f aca="false">IF($BK109="",-999,($BK109-$A$1)*24)</f>
        <v>-999</v>
      </c>
      <c r="BI109" s="4" t="n">
        <f aca="false">IF($BK109="",-999,(IF($BL109&lt;&gt;"",$BL109,IF($C$1&gt;$BK109,$C$1,$BK109+MAX('Data Input'!E61*$BM109,0.5)/24))-$A$1)*24)</f>
        <v>-999</v>
      </c>
      <c r="BJ109" s="4" t="n">
        <f aca="false">IF($BK109="",0,IF($BM109&gt;=1,IF($BN109&lt;=0,2,3),IF($BN109&lt;=0,4,5)))</f>
        <v>0</v>
      </c>
      <c r="BK109" s="0" t="str">
        <f aca="false">IF('Data Input'!Q61="","",'Data Input'!Q61)</f>
        <v/>
      </c>
      <c r="BL109" s="0" t="str">
        <f aca="false">IF('Data Input'!R61="","",'Data Input'!R61)</f>
        <v/>
      </c>
      <c r="BM109" s="4" t="n">
        <f aca="false">'Data Input'!S61</f>
        <v>0</v>
      </c>
      <c r="BN109" s="4" t="n">
        <f aca="false">'Data Input'!Y61</f>
        <v>18</v>
      </c>
      <c r="BO109" s="4" t="n">
        <f aca="false">IF($BM109&gt;=1,-999,MAX(($C$1-$A$1)*24,IF($BK109&lt;&gt;"",$BI109,$BP109-'Data Input'!E61)))</f>
        <v>20</v>
      </c>
      <c r="BP109" s="4" t="n">
        <f aca="false">('Data Input'!D61+'Data Input'!Y61/24-$A$1)*24</f>
        <v>22</v>
      </c>
    </row>
    <row r="110" customFormat="false" ht="11.25" hidden="false" customHeight="true" outlineLevel="0" collapsed="false">
      <c r="A110" s="34" t="n">
        <f aca="false">'Data Input'!A62</f>
        <v>6</v>
      </c>
      <c r="B110" s="35" t="str">
        <f aca="false">'Data Input'!B62</f>
        <v>Demolition of existing culvert</v>
      </c>
      <c r="C110" s="36" t="str">
        <f aca="false">'Data Input'!O62</f>
        <v>NOT STARTED - LATE</v>
      </c>
      <c r="D110" s="37" t="n">
        <f aca="false">'Data Input'!D62</f>
        <v>46311.25</v>
      </c>
      <c r="E110" s="38" t="n">
        <f aca="false">'Data Input'!D62+'Data Input'!Y62/24</f>
        <v>46312</v>
      </c>
      <c r="F110" s="39" t="n">
        <f aca="false">'Data Input'!Y62</f>
        <v>18</v>
      </c>
      <c r="G110" s="40" t="n">
        <f aca="false">'Data Input'!T62</f>
        <v>1</v>
      </c>
      <c r="H110" s="41" t="n">
        <f aca="false">'Data Input'!S62</f>
        <v>0</v>
      </c>
      <c r="I110" s="21"/>
      <c r="J110" s="42" t="s">
        <v>27</v>
      </c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H110" s="4" t="n">
        <f aca="false">('Data Input'!C62-$A$1)*24</f>
        <v>4</v>
      </c>
      <c r="BI110" s="4" t="n">
        <f aca="false">('Data Input'!D62-$A$1)*24</f>
        <v>6</v>
      </c>
      <c r="BJ110" s="0" t="n">
        <v>1</v>
      </c>
      <c r="BO110" s="0" t="n">
        <v>-999</v>
      </c>
      <c r="BP110" s="0" t="n">
        <v>-999</v>
      </c>
    </row>
    <row r="111" customFormat="false" ht="11.25" hidden="false" customHeight="true" outlineLevel="0" collapsed="false">
      <c r="A111" s="34"/>
      <c r="B111" s="34"/>
      <c r="C111" s="36"/>
      <c r="D111" s="37"/>
      <c r="E111" s="37"/>
      <c r="F111" s="39"/>
      <c r="G111" s="40"/>
      <c r="H111" s="40"/>
      <c r="I111" s="40"/>
      <c r="J111" s="42" t="s">
        <v>28</v>
      </c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H111" s="4" t="n">
        <f aca="false">IF($BK111="",-999,($BK111-$A$1)*24)</f>
        <v>-999</v>
      </c>
      <c r="BI111" s="4" t="n">
        <f aca="false">IF($BK111="",-999,(IF($BL111&lt;&gt;"",$BL111,IF($C$1&gt;$BK111,$C$1,$BK111+MAX('Data Input'!E62*$BM111,0.5)/24))-$A$1)*24)</f>
        <v>-999</v>
      </c>
      <c r="BJ111" s="4" t="n">
        <f aca="false">IF($BK111="",0,IF($BM111&gt;=1,IF($BN111&lt;=0,2,3),IF($BN111&lt;=0,4,5)))</f>
        <v>0</v>
      </c>
      <c r="BK111" s="0" t="str">
        <f aca="false">IF('Data Input'!Q62="","",'Data Input'!Q62)</f>
        <v/>
      </c>
      <c r="BL111" s="0" t="str">
        <f aca="false">IF('Data Input'!R62="","",'Data Input'!R62)</f>
        <v/>
      </c>
      <c r="BM111" s="4" t="n">
        <f aca="false">'Data Input'!S62</f>
        <v>0</v>
      </c>
      <c r="BN111" s="4" t="n">
        <f aca="false">'Data Input'!Y62</f>
        <v>18</v>
      </c>
      <c r="BO111" s="4" t="n">
        <f aca="false">IF($BM111&gt;=1,-999,MAX(($C$1-$A$1)*24,IF($BK111&lt;&gt;"",$BI111,$BP111-'Data Input'!E62)))</f>
        <v>22</v>
      </c>
      <c r="BP111" s="4" t="n">
        <f aca="false">('Data Input'!D62+'Data Input'!Y62/24-$A$1)*24</f>
        <v>24</v>
      </c>
    </row>
    <row r="112" customFormat="false" ht="11.25" hidden="false" customHeight="true" outlineLevel="0" collapsed="false">
      <c r="A112" s="34" t="n">
        <f aca="false">'Data Input'!A63</f>
        <v>7</v>
      </c>
      <c r="B112" s="35" t="str">
        <f aca="false">'Data Input'!B63</f>
        <v>Surface preparation for precast installation</v>
      </c>
      <c r="C112" s="36" t="str">
        <f aca="false">'Data Input'!O63</f>
        <v>NOT STARTED - LATE</v>
      </c>
      <c r="D112" s="37" t="n">
        <f aca="false">'Data Input'!D63</f>
        <v>46311.3333333333</v>
      </c>
      <c r="E112" s="38" t="n">
        <f aca="false">'Data Input'!D63+'Data Input'!Y63/24</f>
        <v>46312.0833333333</v>
      </c>
      <c r="F112" s="39" t="n">
        <f aca="false">'Data Input'!Y63</f>
        <v>18</v>
      </c>
      <c r="G112" s="40" t="n">
        <f aca="false">'Data Input'!T63</f>
        <v>1</v>
      </c>
      <c r="H112" s="41" t="n">
        <f aca="false">'Data Input'!S63</f>
        <v>0</v>
      </c>
      <c r="I112" s="21"/>
      <c r="J112" s="42" t="s">
        <v>27</v>
      </c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H112" s="4" t="n">
        <f aca="false">('Data Input'!C63-$A$1)*24</f>
        <v>6</v>
      </c>
      <c r="BI112" s="4" t="n">
        <f aca="false">('Data Input'!D63-$A$1)*24</f>
        <v>8</v>
      </c>
      <c r="BJ112" s="0" t="n">
        <v>1</v>
      </c>
      <c r="BO112" s="0" t="n">
        <v>-999</v>
      </c>
      <c r="BP112" s="0" t="n">
        <v>-999</v>
      </c>
    </row>
    <row r="113" customFormat="false" ht="11.25" hidden="false" customHeight="true" outlineLevel="0" collapsed="false">
      <c r="A113" s="34"/>
      <c r="B113" s="34"/>
      <c r="C113" s="36"/>
      <c r="D113" s="37"/>
      <c r="E113" s="37"/>
      <c r="F113" s="39"/>
      <c r="G113" s="40"/>
      <c r="H113" s="40"/>
      <c r="I113" s="40"/>
      <c r="J113" s="42" t="s">
        <v>28</v>
      </c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H113" s="4" t="n">
        <f aca="false">IF($BK113="",-999,($BK113-$A$1)*24)</f>
        <v>-999</v>
      </c>
      <c r="BI113" s="4" t="n">
        <f aca="false">IF($BK113="",-999,(IF($BL113&lt;&gt;"",$BL113,IF($C$1&gt;$BK113,$C$1,$BK113+MAX('Data Input'!E63*$BM113,0.5)/24))-$A$1)*24)</f>
        <v>-999</v>
      </c>
      <c r="BJ113" s="4" t="n">
        <f aca="false">IF($BK113="",0,IF($BM113&gt;=1,IF($BN113&lt;=0,2,3),IF($BN113&lt;=0,4,5)))</f>
        <v>0</v>
      </c>
      <c r="BK113" s="0" t="str">
        <f aca="false">IF('Data Input'!Q63="","",'Data Input'!Q63)</f>
        <v/>
      </c>
      <c r="BL113" s="0" t="str">
        <f aca="false">IF('Data Input'!R63="","",'Data Input'!R63)</f>
        <v/>
      </c>
      <c r="BM113" s="4" t="n">
        <f aca="false">'Data Input'!S63</f>
        <v>0</v>
      </c>
      <c r="BN113" s="4" t="n">
        <f aca="false">'Data Input'!Y63</f>
        <v>18</v>
      </c>
      <c r="BO113" s="4" t="n">
        <f aca="false">IF($BM113&gt;=1,-999,MAX(($C$1-$A$1)*24,IF($BK113&lt;&gt;"",$BI113,$BP113-'Data Input'!E63)))</f>
        <v>24</v>
      </c>
      <c r="BP113" s="4" t="n">
        <f aca="false">('Data Input'!D63+'Data Input'!Y63/24-$A$1)*24</f>
        <v>26</v>
      </c>
    </row>
    <row r="114" customFormat="false" ht="11.25" hidden="false" customHeight="true" outlineLevel="0" collapsed="false">
      <c r="A114" s="34" t="n">
        <f aca="false">'Data Input'!A64</f>
        <v>8</v>
      </c>
      <c r="B114" s="35" t="str">
        <f aca="false">'Data Input'!B64</f>
        <v>Installation of new precast culvert</v>
      </c>
      <c r="C114" s="36" t="str">
        <f aca="false">'Data Input'!O64</f>
        <v>NOT STARTED - LATE</v>
      </c>
      <c r="D114" s="37" t="n">
        <f aca="false">'Data Input'!D64</f>
        <v>46311.4583333333</v>
      </c>
      <c r="E114" s="38" t="n">
        <f aca="false">'Data Input'!D64+'Data Input'!Y64/24</f>
        <v>46312.2083333333</v>
      </c>
      <c r="F114" s="39" t="n">
        <f aca="false">'Data Input'!Y64</f>
        <v>18</v>
      </c>
      <c r="G114" s="40" t="n">
        <f aca="false">'Data Input'!T64</f>
        <v>1</v>
      </c>
      <c r="H114" s="41" t="n">
        <f aca="false">'Data Input'!S64</f>
        <v>0</v>
      </c>
      <c r="I114" s="21"/>
      <c r="J114" s="42" t="s">
        <v>27</v>
      </c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H114" s="4" t="n">
        <f aca="false">('Data Input'!C64-$A$1)*24</f>
        <v>8</v>
      </c>
      <c r="BI114" s="4" t="n">
        <f aca="false">('Data Input'!D64-$A$1)*24</f>
        <v>11</v>
      </c>
      <c r="BJ114" s="0" t="n">
        <v>1</v>
      </c>
      <c r="BO114" s="0" t="n">
        <v>-999</v>
      </c>
      <c r="BP114" s="0" t="n">
        <v>-999</v>
      </c>
    </row>
    <row r="115" customFormat="false" ht="11.25" hidden="false" customHeight="true" outlineLevel="0" collapsed="false">
      <c r="A115" s="34"/>
      <c r="B115" s="34"/>
      <c r="C115" s="36"/>
      <c r="D115" s="37"/>
      <c r="E115" s="37"/>
      <c r="F115" s="39"/>
      <c r="G115" s="40"/>
      <c r="H115" s="40"/>
      <c r="I115" s="40"/>
      <c r="J115" s="42" t="s">
        <v>28</v>
      </c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H115" s="4" t="n">
        <f aca="false">IF($BK115="",-999,($BK115-$A$1)*24)</f>
        <v>-999</v>
      </c>
      <c r="BI115" s="4" t="n">
        <f aca="false">IF($BK115="",-999,(IF($BL115&lt;&gt;"",$BL115,IF($C$1&gt;$BK115,$C$1,$BK115+MAX('Data Input'!E64*$BM115,0.5)/24))-$A$1)*24)</f>
        <v>-999</v>
      </c>
      <c r="BJ115" s="4" t="n">
        <f aca="false">IF($BK115="",0,IF($BM115&gt;=1,IF($BN115&lt;=0,2,3),IF($BN115&lt;=0,4,5)))</f>
        <v>0</v>
      </c>
      <c r="BK115" s="0" t="str">
        <f aca="false">IF('Data Input'!Q64="","",'Data Input'!Q64)</f>
        <v/>
      </c>
      <c r="BL115" s="0" t="str">
        <f aca="false">IF('Data Input'!R64="","",'Data Input'!R64)</f>
        <v/>
      </c>
      <c r="BM115" s="4" t="n">
        <f aca="false">'Data Input'!S64</f>
        <v>0</v>
      </c>
      <c r="BN115" s="4" t="n">
        <f aca="false">'Data Input'!Y64</f>
        <v>18</v>
      </c>
      <c r="BO115" s="4" t="n">
        <f aca="false">IF($BM115&gt;=1,-999,MAX(($C$1-$A$1)*24,IF($BK115&lt;&gt;"",$BI115,$BP115-'Data Input'!E64)))</f>
        <v>26</v>
      </c>
      <c r="BP115" s="4" t="n">
        <f aca="false">('Data Input'!D64+'Data Input'!Y64/24-$A$1)*24</f>
        <v>29</v>
      </c>
    </row>
    <row r="116" customFormat="false" ht="11.25" hidden="false" customHeight="true" outlineLevel="0" collapsed="false">
      <c r="A116" s="34" t="n">
        <f aca="false">'Data Input'!A65</f>
        <v>9</v>
      </c>
      <c r="B116" s="35" t="str">
        <f aca="false">'Data Input'!B65</f>
        <v>Apply sealant to the culvert</v>
      </c>
      <c r="C116" s="36" t="str">
        <f aca="false">'Data Input'!O65</f>
        <v>NOT STARTED - LATE</v>
      </c>
      <c r="D116" s="37" t="n">
        <f aca="false">'Data Input'!D65</f>
        <v>46311.5</v>
      </c>
      <c r="E116" s="38" t="n">
        <f aca="false">'Data Input'!D65+'Data Input'!Y65/24</f>
        <v>46312.25</v>
      </c>
      <c r="F116" s="39" t="n">
        <f aca="false">'Data Input'!Y65</f>
        <v>18</v>
      </c>
      <c r="G116" s="40" t="n">
        <f aca="false">'Data Input'!T65</f>
        <v>1</v>
      </c>
      <c r="H116" s="41" t="n">
        <f aca="false">'Data Input'!S65</f>
        <v>0</v>
      </c>
      <c r="I116" s="21"/>
      <c r="J116" s="42" t="s">
        <v>27</v>
      </c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H116" s="4" t="n">
        <f aca="false">('Data Input'!C65-$A$1)*24</f>
        <v>11</v>
      </c>
      <c r="BI116" s="4" t="n">
        <f aca="false">('Data Input'!D65-$A$1)*24</f>
        <v>12</v>
      </c>
      <c r="BJ116" s="0" t="n">
        <v>1</v>
      </c>
      <c r="BO116" s="0" t="n">
        <v>-999</v>
      </c>
      <c r="BP116" s="0" t="n">
        <v>-999</v>
      </c>
    </row>
    <row r="117" customFormat="false" ht="11.25" hidden="false" customHeight="true" outlineLevel="0" collapsed="false">
      <c r="A117" s="34"/>
      <c r="B117" s="34"/>
      <c r="C117" s="36"/>
      <c r="D117" s="37"/>
      <c r="E117" s="37"/>
      <c r="F117" s="39"/>
      <c r="G117" s="40"/>
      <c r="H117" s="40"/>
      <c r="I117" s="40"/>
      <c r="J117" s="42" t="s">
        <v>28</v>
      </c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H117" s="4" t="n">
        <f aca="false">IF($BK117="",-999,($BK117-$A$1)*24)</f>
        <v>-999</v>
      </c>
      <c r="BI117" s="4" t="n">
        <f aca="false">IF($BK117="",-999,(IF($BL117&lt;&gt;"",$BL117,IF($C$1&gt;$BK117,$C$1,$BK117+MAX('Data Input'!E65*$BM117,0.5)/24))-$A$1)*24)</f>
        <v>-999</v>
      </c>
      <c r="BJ117" s="4" t="n">
        <f aca="false">IF($BK117="",0,IF($BM117&gt;=1,IF($BN117&lt;=0,2,3),IF($BN117&lt;=0,4,5)))</f>
        <v>0</v>
      </c>
      <c r="BK117" s="0" t="str">
        <f aca="false">IF('Data Input'!Q65="","",'Data Input'!Q65)</f>
        <v/>
      </c>
      <c r="BL117" s="0" t="str">
        <f aca="false">IF('Data Input'!R65="","",'Data Input'!R65)</f>
        <v/>
      </c>
      <c r="BM117" s="4" t="n">
        <f aca="false">'Data Input'!S65</f>
        <v>0</v>
      </c>
      <c r="BN117" s="4" t="n">
        <f aca="false">'Data Input'!Y65</f>
        <v>18</v>
      </c>
      <c r="BO117" s="4" t="n">
        <f aca="false">IF($BM117&gt;=1,-999,MAX(($C$1-$A$1)*24,IF($BK117&lt;&gt;"",$BI117,$BP117-'Data Input'!E65)))</f>
        <v>29</v>
      </c>
      <c r="BP117" s="4" t="n">
        <f aca="false">('Data Input'!D65+'Data Input'!Y65/24-$A$1)*24</f>
        <v>30</v>
      </c>
    </row>
    <row r="118" customFormat="false" ht="11.25" hidden="false" customHeight="true" outlineLevel="0" collapsed="false">
      <c r="A118" s="34" t="n">
        <f aca="false">'Data Input'!A66</f>
        <v>10</v>
      </c>
      <c r="B118" s="35" t="str">
        <f aca="false">'Data Input'!B66</f>
        <v>Backfill around culvert to subgrade level</v>
      </c>
      <c r="C118" s="36" t="str">
        <f aca="false">'Data Input'!O66</f>
        <v>NOT STARTED - LATE</v>
      </c>
      <c r="D118" s="37" t="n">
        <f aca="false">'Data Input'!D66</f>
        <v>46311.625</v>
      </c>
      <c r="E118" s="38" t="n">
        <f aca="false">'Data Input'!D66+'Data Input'!Y66/24</f>
        <v>46312.375</v>
      </c>
      <c r="F118" s="39" t="n">
        <f aca="false">'Data Input'!Y66</f>
        <v>18</v>
      </c>
      <c r="G118" s="40" t="n">
        <f aca="false">'Data Input'!T66</f>
        <v>1</v>
      </c>
      <c r="H118" s="41" t="n">
        <f aca="false">'Data Input'!S66</f>
        <v>0</v>
      </c>
      <c r="I118" s="21"/>
      <c r="J118" s="42" t="s">
        <v>27</v>
      </c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H118" s="4" t="n">
        <f aca="false">('Data Input'!C66-$A$1)*24</f>
        <v>12</v>
      </c>
      <c r="BI118" s="4" t="n">
        <f aca="false">('Data Input'!D66-$A$1)*24</f>
        <v>15</v>
      </c>
      <c r="BJ118" s="0" t="n">
        <v>1</v>
      </c>
      <c r="BO118" s="0" t="n">
        <v>-999</v>
      </c>
      <c r="BP118" s="0" t="n">
        <v>-999</v>
      </c>
    </row>
    <row r="119" customFormat="false" ht="11.25" hidden="false" customHeight="true" outlineLevel="0" collapsed="false">
      <c r="A119" s="34"/>
      <c r="B119" s="34"/>
      <c r="C119" s="36"/>
      <c r="D119" s="37"/>
      <c r="E119" s="37"/>
      <c r="F119" s="39"/>
      <c r="G119" s="40"/>
      <c r="H119" s="40"/>
      <c r="I119" s="40"/>
      <c r="J119" s="42" t="s">
        <v>28</v>
      </c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H119" s="4" t="n">
        <f aca="false">IF($BK119="",-999,($BK119-$A$1)*24)</f>
        <v>-999</v>
      </c>
      <c r="BI119" s="4" t="n">
        <f aca="false">IF($BK119="",-999,(IF($BL119&lt;&gt;"",$BL119,IF($C$1&gt;$BK119,$C$1,$BK119+MAX('Data Input'!E66*$BM119,0.5)/24))-$A$1)*24)</f>
        <v>-999</v>
      </c>
      <c r="BJ119" s="4" t="n">
        <f aca="false">IF($BK119="",0,IF($BM119&gt;=1,IF($BN119&lt;=0,2,3),IF($BN119&lt;=0,4,5)))</f>
        <v>0</v>
      </c>
      <c r="BK119" s="0" t="str">
        <f aca="false">IF('Data Input'!Q66="","",'Data Input'!Q66)</f>
        <v/>
      </c>
      <c r="BL119" s="0" t="str">
        <f aca="false">IF('Data Input'!R66="","",'Data Input'!R66)</f>
        <v/>
      </c>
      <c r="BM119" s="4" t="n">
        <f aca="false">'Data Input'!S66</f>
        <v>0</v>
      </c>
      <c r="BN119" s="4" t="n">
        <f aca="false">'Data Input'!Y66</f>
        <v>18</v>
      </c>
      <c r="BO119" s="4" t="n">
        <f aca="false">IF($BM119&gt;=1,-999,MAX(($C$1-$A$1)*24,IF($BK119&lt;&gt;"",$BI119,$BP119-'Data Input'!E66)))</f>
        <v>30</v>
      </c>
      <c r="BP119" s="4" t="n">
        <f aca="false">('Data Input'!D66+'Data Input'!Y66/24-$A$1)*24</f>
        <v>33</v>
      </c>
    </row>
    <row r="120" customFormat="false" ht="11.25" hidden="false" customHeight="true" outlineLevel="0" collapsed="false">
      <c r="A120" s="34" t="n">
        <f aca="false">'Data Input'!A67</f>
        <v>11</v>
      </c>
      <c r="B120" s="35" t="str">
        <f aca="false">'Data Input'!B67</f>
        <v>Backfill Subgrade</v>
      </c>
      <c r="C120" s="36" t="str">
        <f aca="false">'Data Input'!O67</f>
        <v>NOT STARTED - LATE</v>
      </c>
      <c r="D120" s="37" t="n">
        <f aca="false">'Data Input'!D67</f>
        <v>46311.6666666667</v>
      </c>
      <c r="E120" s="38" t="n">
        <f aca="false">'Data Input'!D67+'Data Input'!Y67/24</f>
        <v>46312.4166666667</v>
      </c>
      <c r="F120" s="39" t="n">
        <f aca="false">'Data Input'!Y67</f>
        <v>18</v>
      </c>
      <c r="G120" s="40" t="n">
        <f aca="false">'Data Input'!T67</f>
        <v>1</v>
      </c>
      <c r="H120" s="41" t="n">
        <f aca="false">'Data Input'!S67</f>
        <v>0</v>
      </c>
      <c r="I120" s="21"/>
      <c r="J120" s="42" t="s">
        <v>27</v>
      </c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H120" s="4" t="n">
        <f aca="false">('Data Input'!C67-$A$1)*24</f>
        <v>15</v>
      </c>
      <c r="BI120" s="4" t="n">
        <f aca="false">('Data Input'!D67-$A$1)*24</f>
        <v>16</v>
      </c>
      <c r="BJ120" s="0" t="n">
        <v>1</v>
      </c>
      <c r="BO120" s="0" t="n">
        <v>-999</v>
      </c>
      <c r="BP120" s="0" t="n">
        <v>-999</v>
      </c>
    </row>
    <row r="121" customFormat="false" ht="11.25" hidden="false" customHeight="true" outlineLevel="0" collapsed="false">
      <c r="A121" s="34"/>
      <c r="B121" s="34"/>
      <c r="C121" s="36"/>
      <c r="D121" s="37"/>
      <c r="E121" s="37"/>
      <c r="F121" s="39"/>
      <c r="G121" s="40"/>
      <c r="H121" s="40"/>
      <c r="I121" s="40"/>
      <c r="J121" s="42" t="s">
        <v>28</v>
      </c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H121" s="4" t="n">
        <f aca="false">IF($BK121="",-999,($BK121-$A$1)*24)</f>
        <v>-999</v>
      </c>
      <c r="BI121" s="4" t="n">
        <f aca="false">IF($BK121="",-999,(IF($BL121&lt;&gt;"",$BL121,IF($C$1&gt;$BK121,$C$1,$BK121+MAX('Data Input'!E67*$BM121,0.5)/24))-$A$1)*24)</f>
        <v>-999</v>
      </c>
      <c r="BJ121" s="4" t="n">
        <f aca="false">IF($BK121="",0,IF($BM121&gt;=1,IF($BN121&lt;=0,2,3),IF($BN121&lt;=0,4,5)))</f>
        <v>0</v>
      </c>
      <c r="BK121" s="0" t="str">
        <f aca="false">IF('Data Input'!Q67="","",'Data Input'!Q67)</f>
        <v/>
      </c>
      <c r="BL121" s="0" t="str">
        <f aca="false">IF('Data Input'!R67="","",'Data Input'!R67)</f>
        <v/>
      </c>
      <c r="BM121" s="4" t="n">
        <f aca="false">'Data Input'!S67</f>
        <v>0</v>
      </c>
      <c r="BN121" s="4" t="n">
        <f aca="false">'Data Input'!Y67</f>
        <v>18</v>
      </c>
      <c r="BO121" s="4" t="n">
        <f aca="false">IF($BM121&gt;=1,-999,MAX(($C$1-$A$1)*24,IF($BK121&lt;&gt;"",$BI121,$BP121-'Data Input'!E67)))</f>
        <v>33</v>
      </c>
      <c r="BP121" s="4" t="n">
        <f aca="false">('Data Input'!D67+'Data Input'!Y67/24-$A$1)*24</f>
        <v>34</v>
      </c>
    </row>
    <row r="122" customFormat="false" ht="11.25" hidden="false" customHeight="true" outlineLevel="0" collapsed="false">
      <c r="A122" s="34" t="n">
        <f aca="false">'Data Input'!A68</f>
        <v>12</v>
      </c>
      <c r="B122" s="35" t="str">
        <f aca="false">'Data Input'!B68</f>
        <v>First layer of ballast (Line 1)</v>
      </c>
      <c r="C122" s="36" t="str">
        <f aca="false">'Data Input'!O68</f>
        <v>NOT STARTED - LATE</v>
      </c>
      <c r="D122" s="37" t="n">
        <f aca="false">'Data Input'!D68</f>
        <v>46311.7083333333</v>
      </c>
      <c r="E122" s="38" t="n">
        <f aca="false">'Data Input'!D68+'Data Input'!Y68/24</f>
        <v>46312.4583333333</v>
      </c>
      <c r="F122" s="39" t="n">
        <f aca="false">'Data Input'!Y68</f>
        <v>18</v>
      </c>
      <c r="G122" s="40" t="n">
        <f aca="false">'Data Input'!T68</f>
        <v>1</v>
      </c>
      <c r="H122" s="41" t="n">
        <f aca="false">'Data Input'!S68</f>
        <v>0</v>
      </c>
      <c r="I122" s="21"/>
      <c r="J122" s="42" t="s">
        <v>27</v>
      </c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H122" s="4" t="n">
        <f aca="false">('Data Input'!C68-$A$1)*24</f>
        <v>16</v>
      </c>
      <c r="BI122" s="4" t="n">
        <f aca="false">('Data Input'!D68-$A$1)*24</f>
        <v>17</v>
      </c>
      <c r="BJ122" s="0" t="n">
        <v>1</v>
      </c>
      <c r="BO122" s="0" t="n">
        <v>-999</v>
      </c>
      <c r="BP122" s="0" t="n">
        <v>-999</v>
      </c>
    </row>
    <row r="123" customFormat="false" ht="11.25" hidden="false" customHeight="true" outlineLevel="0" collapsed="false">
      <c r="A123" s="34"/>
      <c r="B123" s="34"/>
      <c r="C123" s="36"/>
      <c r="D123" s="37"/>
      <c r="E123" s="37"/>
      <c r="F123" s="39"/>
      <c r="G123" s="40"/>
      <c r="H123" s="40"/>
      <c r="I123" s="40"/>
      <c r="J123" s="42" t="s">
        <v>28</v>
      </c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H123" s="4" t="n">
        <f aca="false">IF($BK123="",-999,($BK123-$A$1)*24)</f>
        <v>-999</v>
      </c>
      <c r="BI123" s="4" t="n">
        <f aca="false">IF($BK123="",-999,(IF($BL123&lt;&gt;"",$BL123,IF($C$1&gt;$BK123,$C$1,$BK123+MAX('Data Input'!E68*$BM123,0.5)/24))-$A$1)*24)</f>
        <v>-999</v>
      </c>
      <c r="BJ123" s="4" t="n">
        <f aca="false">IF($BK123="",0,IF($BM123&gt;=1,IF($BN123&lt;=0,2,3),IF($BN123&lt;=0,4,5)))</f>
        <v>0</v>
      </c>
      <c r="BK123" s="0" t="str">
        <f aca="false">IF('Data Input'!Q68="","",'Data Input'!Q68)</f>
        <v/>
      </c>
      <c r="BL123" s="0" t="str">
        <f aca="false">IF('Data Input'!R68="","",'Data Input'!R68)</f>
        <v/>
      </c>
      <c r="BM123" s="4" t="n">
        <f aca="false">'Data Input'!S68</f>
        <v>0</v>
      </c>
      <c r="BN123" s="4" t="n">
        <f aca="false">'Data Input'!Y68</f>
        <v>18</v>
      </c>
      <c r="BO123" s="4" t="n">
        <f aca="false">IF($BM123&gt;=1,-999,MAX(($C$1-$A$1)*24,IF($BK123&lt;&gt;"",$BI123,$BP123-'Data Input'!E68)))</f>
        <v>34</v>
      </c>
      <c r="BP123" s="4" t="n">
        <f aca="false">('Data Input'!D68+'Data Input'!Y68/24-$A$1)*24</f>
        <v>35</v>
      </c>
    </row>
    <row r="124" customFormat="false" ht="11.25" hidden="false" customHeight="true" outlineLevel="0" collapsed="false">
      <c r="A124" s="34" t="n">
        <f aca="false">'Data Input'!A69</f>
        <v>13</v>
      </c>
      <c r="B124" s="35" t="str">
        <f aca="false">'Data Input'!B69</f>
        <v>First layer of ballast (Line 3)</v>
      </c>
      <c r="C124" s="36" t="str">
        <f aca="false">'Data Input'!O69</f>
        <v>NOT STARTED - LATE</v>
      </c>
      <c r="D124" s="37" t="n">
        <f aca="false">'Data Input'!D69</f>
        <v>46311.75</v>
      </c>
      <c r="E124" s="38" t="n">
        <f aca="false">'Data Input'!D69+'Data Input'!Y69/24</f>
        <v>46312.5</v>
      </c>
      <c r="F124" s="39" t="n">
        <f aca="false">'Data Input'!Y69</f>
        <v>18</v>
      </c>
      <c r="G124" s="40" t="n">
        <f aca="false">'Data Input'!T69</f>
        <v>1</v>
      </c>
      <c r="H124" s="41" t="n">
        <f aca="false">'Data Input'!S69</f>
        <v>0</v>
      </c>
      <c r="I124" s="21"/>
      <c r="J124" s="42" t="s">
        <v>27</v>
      </c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H124" s="4" t="n">
        <f aca="false">('Data Input'!C69-$A$1)*24</f>
        <v>17</v>
      </c>
      <c r="BI124" s="4" t="n">
        <f aca="false">('Data Input'!D69-$A$1)*24</f>
        <v>18</v>
      </c>
      <c r="BJ124" s="0" t="n">
        <v>1</v>
      </c>
      <c r="BO124" s="0" t="n">
        <v>-999</v>
      </c>
      <c r="BP124" s="0" t="n">
        <v>-999</v>
      </c>
    </row>
    <row r="125" customFormat="false" ht="11.25" hidden="false" customHeight="true" outlineLevel="0" collapsed="false">
      <c r="A125" s="34"/>
      <c r="B125" s="34"/>
      <c r="C125" s="36"/>
      <c r="D125" s="37"/>
      <c r="E125" s="37"/>
      <c r="F125" s="39"/>
      <c r="G125" s="40"/>
      <c r="H125" s="40"/>
      <c r="I125" s="40"/>
      <c r="J125" s="42" t="s">
        <v>28</v>
      </c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H125" s="4" t="n">
        <f aca="false">IF($BK125="",-999,($BK125-$A$1)*24)</f>
        <v>-999</v>
      </c>
      <c r="BI125" s="4" t="n">
        <f aca="false">IF($BK125="",-999,(IF($BL125&lt;&gt;"",$BL125,IF($C$1&gt;$BK125,$C$1,$BK125+MAX('Data Input'!E69*$BM125,0.5)/24))-$A$1)*24)</f>
        <v>-999</v>
      </c>
      <c r="BJ125" s="4" t="n">
        <f aca="false">IF($BK125="",0,IF($BM125&gt;=1,IF($BN125&lt;=0,2,3),IF($BN125&lt;=0,4,5)))</f>
        <v>0</v>
      </c>
      <c r="BK125" s="0" t="str">
        <f aca="false">IF('Data Input'!Q69="","",'Data Input'!Q69)</f>
        <v/>
      </c>
      <c r="BL125" s="0" t="str">
        <f aca="false">IF('Data Input'!R69="","",'Data Input'!R69)</f>
        <v/>
      </c>
      <c r="BM125" s="4" t="n">
        <f aca="false">'Data Input'!S69</f>
        <v>0</v>
      </c>
      <c r="BN125" s="4" t="n">
        <f aca="false">'Data Input'!Y69</f>
        <v>18</v>
      </c>
      <c r="BO125" s="4" t="n">
        <f aca="false">IF($BM125&gt;=1,-999,MAX(($C$1-$A$1)*24,IF($BK125&lt;&gt;"",$BI125,$BP125-'Data Input'!E69)))</f>
        <v>35</v>
      </c>
      <c r="BP125" s="4" t="n">
        <f aca="false">('Data Input'!D69+'Data Input'!Y69/24-$A$1)*24</f>
        <v>36</v>
      </c>
    </row>
    <row r="126" customFormat="false" ht="11.25" hidden="false" customHeight="true" outlineLevel="0" collapsed="false">
      <c r="A126" s="34" t="n">
        <f aca="false">'Data Input'!A70</f>
        <v>14</v>
      </c>
      <c r="B126" s="35" t="str">
        <f aca="false">'Data Input'!B70</f>
        <v>Track installation (Line 1)</v>
      </c>
      <c r="C126" s="36" t="str">
        <f aca="false">'Data Input'!O70</f>
        <v>NOT STARTED - LATE</v>
      </c>
      <c r="D126" s="37" t="n">
        <f aca="false">'Data Input'!D70</f>
        <v>46311.7916666667</v>
      </c>
      <c r="E126" s="38" t="n">
        <f aca="false">'Data Input'!D70+'Data Input'!Y70/24</f>
        <v>46312.5416666667</v>
      </c>
      <c r="F126" s="39" t="n">
        <f aca="false">'Data Input'!Y70</f>
        <v>18</v>
      </c>
      <c r="G126" s="40" t="n">
        <f aca="false">'Data Input'!T70</f>
        <v>0</v>
      </c>
      <c r="H126" s="41" t="n">
        <f aca="false">'Data Input'!S70</f>
        <v>0</v>
      </c>
      <c r="I126" s="21"/>
      <c r="J126" s="42" t="s">
        <v>27</v>
      </c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H126" s="4" t="n">
        <f aca="false">('Data Input'!C70-$A$1)*24</f>
        <v>18</v>
      </c>
      <c r="BI126" s="4" t="n">
        <f aca="false">('Data Input'!D70-$A$1)*24</f>
        <v>19</v>
      </c>
      <c r="BJ126" s="0" t="n">
        <v>1</v>
      </c>
      <c r="BO126" s="0" t="n">
        <v>-999</v>
      </c>
      <c r="BP126" s="0" t="n">
        <v>-999</v>
      </c>
    </row>
    <row r="127" customFormat="false" ht="11.25" hidden="false" customHeight="true" outlineLevel="0" collapsed="false">
      <c r="A127" s="34"/>
      <c r="B127" s="34"/>
      <c r="C127" s="36"/>
      <c r="D127" s="37"/>
      <c r="E127" s="37"/>
      <c r="F127" s="39"/>
      <c r="G127" s="40"/>
      <c r="H127" s="40"/>
      <c r="I127" s="40"/>
      <c r="J127" s="42" t="s">
        <v>28</v>
      </c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H127" s="4" t="n">
        <f aca="false">IF($BK127="",-999,($BK127-$A$1)*24)</f>
        <v>-999</v>
      </c>
      <c r="BI127" s="4" t="n">
        <f aca="false">IF($BK127="",-999,(IF($BL127&lt;&gt;"",$BL127,IF($C$1&gt;$BK127,$C$1,$BK127+MAX('Data Input'!E70*$BM127,0.5)/24))-$A$1)*24)</f>
        <v>-999</v>
      </c>
      <c r="BJ127" s="4" t="n">
        <f aca="false">IF($BK127="",0,IF($BM127&gt;=1,IF($BN127&lt;=0,2,3),IF($BN127&lt;=0,4,5)))</f>
        <v>0</v>
      </c>
      <c r="BK127" s="0" t="str">
        <f aca="false">IF('Data Input'!Q70="","",'Data Input'!Q70)</f>
        <v/>
      </c>
      <c r="BL127" s="0" t="str">
        <f aca="false">IF('Data Input'!R70="","",'Data Input'!R70)</f>
        <v/>
      </c>
      <c r="BM127" s="4" t="n">
        <f aca="false">'Data Input'!S70</f>
        <v>0</v>
      </c>
      <c r="BN127" s="4" t="n">
        <f aca="false">'Data Input'!Y70</f>
        <v>18</v>
      </c>
      <c r="BO127" s="4" t="n">
        <f aca="false">IF($BM127&gt;=1,-999,MAX(($C$1-$A$1)*24,IF($BK127&lt;&gt;"",$BI127,$BP127-'Data Input'!E70)))</f>
        <v>36</v>
      </c>
      <c r="BP127" s="4" t="n">
        <f aca="false">('Data Input'!D70+'Data Input'!Y70/24-$A$1)*24</f>
        <v>37</v>
      </c>
    </row>
    <row r="128" customFormat="false" ht="11.25" hidden="false" customHeight="true" outlineLevel="0" collapsed="false">
      <c r="A128" s="34" t="n">
        <f aca="false">'Data Input'!A71</f>
        <v>15</v>
      </c>
      <c r="B128" s="35" t="str">
        <f aca="false">'Data Input'!B71</f>
        <v>Track installation (Line 3)</v>
      </c>
      <c r="C128" s="36" t="str">
        <f aca="false">'Data Input'!O71</f>
        <v>Not Started</v>
      </c>
      <c r="D128" s="37" t="n">
        <f aca="false">'Data Input'!D71</f>
        <v>46311.8333333333</v>
      </c>
      <c r="E128" s="38" t="n">
        <f aca="false">'Data Input'!D71+'Data Input'!Y71/24</f>
        <v>46312.5833333333</v>
      </c>
      <c r="F128" s="39" t="n">
        <f aca="false">'Data Input'!Y71</f>
        <v>18</v>
      </c>
      <c r="G128" s="40" t="n">
        <f aca="false">'Data Input'!T71</f>
        <v>0</v>
      </c>
      <c r="H128" s="41" t="n">
        <f aca="false">'Data Input'!S71</f>
        <v>0</v>
      </c>
      <c r="I128" s="21"/>
      <c r="J128" s="42" t="s">
        <v>27</v>
      </c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H128" s="4" t="n">
        <f aca="false">('Data Input'!C71-$A$1)*24</f>
        <v>19</v>
      </c>
      <c r="BI128" s="4" t="n">
        <f aca="false">('Data Input'!D71-$A$1)*24</f>
        <v>20</v>
      </c>
      <c r="BJ128" s="0" t="n">
        <v>1</v>
      </c>
      <c r="BO128" s="0" t="n">
        <v>-999</v>
      </c>
      <c r="BP128" s="0" t="n">
        <v>-999</v>
      </c>
    </row>
    <row r="129" customFormat="false" ht="11.25" hidden="false" customHeight="true" outlineLevel="0" collapsed="false">
      <c r="A129" s="34"/>
      <c r="B129" s="34"/>
      <c r="C129" s="36"/>
      <c r="D129" s="37"/>
      <c r="E129" s="37"/>
      <c r="F129" s="39"/>
      <c r="G129" s="40"/>
      <c r="H129" s="40"/>
      <c r="I129" s="40"/>
      <c r="J129" s="42" t="s">
        <v>28</v>
      </c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H129" s="4" t="n">
        <f aca="false">IF($BK129="",-999,($BK129-$A$1)*24)</f>
        <v>-999</v>
      </c>
      <c r="BI129" s="4" t="n">
        <f aca="false">IF($BK129="",-999,(IF($BL129&lt;&gt;"",$BL129,IF($C$1&gt;$BK129,$C$1,$BK129+MAX('Data Input'!E71*$BM129,0.5)/24))-$A$1)*24)</f>
        <v>-999</v>
      </c>
      <c r="BJ129" s="4" t="n">
        <f aca="false">IF($BK129="",0,IF($BM129&gt;=1,IF($BN129&lt;=0,2,3),IF($BN129&lt;=0,4,5)))</f>
        <v>0</v>
      </c>
      <c r="BK129" s="0" t="str">
        <f aca="false">IF('Data Input'!Q71="","",'Data Input'!Q71)</f>
        <v/>
      </c>
      <c r="BL129" s="0" t="str">
        <f aca="false">IF('Data Input'!R71="","",'Data Input'!R71)</f>
        <v/>
      </c>
      <c r="BM129" s="4" t="n">
        <f aca="false">'Data Input'!S71</f>
        <v>0</v>
      </c>
      <c r="BN129" s="4" t="n">
        <f aca="false">'Data Input'!Y71</f>
        <v>18</v>
      </c>
      <c r="BO129" s="4" t="n">
        <f aca="false">IF($BM129&gt;=1,-999,MAX(($C$1-$A$1)*24,IF($BK129&lt;&gt;"",$BI129,$BP129-'Data Input'!E71)))</f>
        <v>37</v>
      </c>
      <c r="BP129" s="4" t="n">
        <f aca="false">('Data Input'!D71+'Data Input'!Y71/24-$A$1)*24</f>
        <v>38</v>
      </c>
    </row>
    <row r="130" customFormat="false" ht="11.25" hidden="false" customHeight="true" outlineLevel="0" collapsed="false">
      <c r="A130" s="34" t="n">
        <f aca="false">'Data Input'!A72</f>
        <v>16</v>
      </c>
      <c r="B130" s="35" t="str">
        <f aca="false">'Data Input'!B72</f>
        <v>1st &amp; 2nd Ballasting / Tamping (Line 1)</v>
      </c>
      <c r="C130" s="36" t="str">
        <f aca="false">'Data Input'!O72</f>
        <v>Not Started</v>
      </c>
      <c r="D130" s="37" t="n">
        <f aca="false">'Data Input'!D72</f>
        <v>46311.875</v>
      </c>
      <c r="E130" s="38" t="n">
        <f aca="false">'Data Input'!D72+'Data Input'!Y72/24</f>
        <v>46312.625</v>
      </c>
      <c r="F130" s="39" t="n">
        <f aca="false">'Data Input'!Y72</f>
        <v>18</v>
      </c>
      <c r="G130" s="40" t="n">
        <f aca="false">'Data Input'!T72</f>
        <v>0</v>
      </c>
      <c r="H130" s="41" t="n">
        <f aca="false">'Data Input'!S72</f>
        <v>0</v>
      </c>
      <c r="I130" s="21"/>
      <c r="J130" s="42" t="s">
        <v>27</v>
      </c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H130" s="4" t="n">
        <f aca="false">('Data Input'!C72-$A$1)*24</f>
        <v>20</v>
      </c>
      <c r="BI130" s="4" t="n">
        <f aca="false">('Data Input'!D72-$A$1)*24</f>
        <v>21</v>
      </c>
      <c r="BJ130" s="0" t="n">
        <v>1</v>
      </c>
      <c r="BO130" s="0" t="n">
        <v>-999</v>
      </c>
      <c r="BP130" s="0" t="n">
        <v>-999</v>
      </c>
    </row>
    <row r="131" customFormat="false" ht="11.25" hidden="false" customHeight="true" outlineLevel="0" collapsed="false">
      <c r="A131" s="34"/>
      <c r="B131" s="34"/>
      <c r="C131" s="36"/>
      <c r="D131" s="37"/>
      <c r="E131" s="37"/>
      <c r="F131" s="39"/>
      <c r="G131" s="40"/>
      <c r="H131" s="40"/>
      <c r="I131" s="40"/>
      <c r="J131" s="42" t="s">
        <v>28</v>
      </c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H131" s="4" t="n">
        <f aca="false">IF($BK131="",-999,($BK131-$A$1)*24)</f>
        <v>-999</v>
      </c>
      <c r="BI131" s="4" t="n">
        <f aca="false">IF($BK131="",-999,(IF($BL131&lt;&gt;"",$BL131,IF($C$1&gt;$BK131,$C$1,$BK131+MAX('Data Input'!E72*$BM131,0.5)/24))-$A$1)*24)</f>
        <v>-999</v>
      </c>
      <c r="BJ131" s="4" t="n">
        <f aca="false">IF($BK131="",0,IF($BM131&gt;=1,IF($BN131&lt;=0,2,3),IF($BN131&lt;=0,4,5)))</f>
        <v>0</v>
      </c>
      <c r="BK131" s="0" t="str">
        <f aca="false">IF('Data Input'!Q72="","",'Data Input'!Q72)</f>
        <v/>
      </c>
      <c r="BL131" s="0" t="str">
        <f aca="false">IF('Data Input'!R72="","",'Data Input'!R72)</f>
        <v/>
      </c>
      <c r="BM131" s="4" t="n">
        <f aca="false">'Data Input'!S72</f>
        <v>0</v>
      </c>
      <c r="BN131" s="4" t="n">
        <f aca="false">'Data Input'!Y72</f>
        <v>18</v>
      </c>
      <c r="BO131" s="4" t="n">
        <f aca="false">IF($BM131&gt;=1,-999,MAX(($C$1-$A$1)*24,IF($BK131&lt;&gt;"",$BI131,$BP131-'Data Input'!E72)))</f>
        <v>38</v>
      </c>
      <c r="BP131" s="4" t="n">
        <f aca="false">('Data Input'!D72+'Data Input'!Y72/24-$A$1)*24</f>
        <v>39</v>
      </c>
    </row>
    <row r="132" customFormat="false" ht="11.25" hidden="false" customHeight="true" outlineLevel="0" collapsed="false">
      <c r="A132" s="34" t="n">
        <f aca="false">'Data Input'!A73</f>
        <v>17</v>
      </c>
      <c r="B132" s="35" t="str">
        <f aca="false">'Data Input'!B73</f>
        <v>Final Ballasting / Tamping (Line 1)</v>
      </c>
      <c r="C132" s="36" t="str">
        <f aca="false">'Data Input'!O73</f>
        <v>Not Started</v>
      </c>
      <c r="D132" s="37" t="n">
        <f aca="false">'Data Input'!D73</f>
        <v>46311.9166666667</v>
      </c>
      <c r="E132" s="38" t="n">
        <f aca="false">'Data Input'!D73+'Data Input'!Y73/24</f>
        <v>46312.6666666667</v>
      </c>
      <c r="F132" s="39" t="n">
        <f aca="false">'Data Input'!Y73</f>
        <v>18</v>
      </c>
      <c r="G132" s="40" t="n">
        <f aca="false">'Data Input'!T73</f>
        <v>0</v>
      </c>
      <c r="H132" s="41" t="n">
        <f aca="false">'Data Input'!S73</f>
        <v>0</v>
      </c>
      <c r="I132" s="21"/>
      <c r="J132" s="42" t="s">
        <v>27</v>
      </c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H132" s="4" t="n">
        <f aca="false">('Data Input'!C73-$A$1)*24</f>
        <v>21</v>
      </c>
      <c r="BI132" s="4" t="n">
        <f aca="false">('Data Input'!D73-$A$1)*24</f>
        <v>22</v>
      </c>
      <c r="BJ132" s="0" t="n">
        <v>1</v>
      </c>
      <c r="BO132" s="0" t="n">
        <v>-999</v>
      </c>
      <c r="BP132" s="0" t="n">
        <v>-999</v>
      </c>
    </row>
    <row r="133" customFormat="false" ht="11.25" hidden="false" customHeight="true" outlineLevel="0" collapsed="false">
      <c r="A133" s="34"/>
      <c r="B133" s="34"/>
      <c r="C133" s="36"/>
      <c r="D133" s="37"/>
      <c r="E133" s="37"/>
      <c r="F133" s="39"/>
      <c r="G133" s="40"/>
      <c r="H133" s="40"/>
      <c r="I133" s="40"/>
      <c r="J133" s="42" t="s">
        <v>28</v>
      </c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H133" s="4" t="n">
        <f aca="false">IF($BK133="",-999,($BK133-$A$1)*24)</f>
        <v>-999</v>
      </c>
      <c r="BI133" s="4" t="n">
        <f aca="false">IF($BK133="",-999,(IF($BL133&lt;&gt;"",$BL133,IF($C$1&gt;$BK133,$C$1,$BK133+MAX('Data Input'!E73*$BM133,0.5)/24))-$A$1)*24)</f>
        <v>-999</v>
      </c>
      <c r="BJ133" s="4" t="n">
        <f aca="false">IF($BK133="",0,IF($BM133&gt;=1,IF($BN133&lt;=0,2,3),IF($BN133&lt;=0,4,5)))</f>
        <v>0</v>
      </c>
      <c r="BK133" s="0" t="str">
        <f aca="false">IF('Data Input'!Q73="","",'Data Input'!Q73)</f>
        <v/>
      </c>
      <c r="BL133" s="0" t="str">
        <f aca="false">IF('Data Input'!R73="","",'Data Input'!R73)</f>
        <v/>
      </c>
      <c r="BM133" s="4" t="n">
        <f aca="false">'Data Input'!S73</f>
        <v>0</v>
      </c>
      <c r="BN133" s="4" t="n">
        <f aca="false">'Data Input'!Y73</f>
        <v>18</v>
      </c>
      <c r="BO133" s="4" t="n">
        <f aca="false">IF($BM133&gt;=1,-999,MAX(($C$1-$A$1)*24,IF($BK133&lt;&gt;"",$BI133,$BP133-'Data Input'!E73)))</f>
        <v>39</v>
      </c>
      <c r="BP133" s="4" t="n">
        <f aca="false">('Data Input'!D73+'Data Input'!Y73/24-$A$1)*24</f>
        <v>40</v>
      </c>
    </row>
    <row r="134" customFormat="false" ht="11.25" hidden="false" customHeight="true" outlineLevel="0" collapsed="false">
      <c r="A134" s="34" t="n">
        <f aca="false">'Data Input'!A74</f>
        <v>18</v>
      </c>
      <c r="B134" s="35" t="str">
        <f aca="false">'Data Input'!B74</f>
        <v>OTMP moves from line 1 to Line 3 TK 121+000</v>
      </c>
      <c r="C134" s="36" t="str">
        <f aca="false">'Data Input'!O74</f>
        <v>Not Started</v>
      </c>
      <c r="D134" s="37" t="n">
        <f aca="false">'Data Input'!D74</f>
        <v>46311.9583333333</v>
      </c>
      <c r="E134" s="38" t="n">
        <f aca="false">'Data Input'!D74+'Data Input'!Y74/24</f>
        <v>46312.7083333333</v>
      </c>
      <c r="F134" s="39" t="n">
        <f aca="false">'Data Input'!Y74</f>
        <v>18</v>
      </c>
      <c r="G134" s="40" t="n">
        <f aca="false">'Data Input'!T74</f>
        <v>0</v>
      </c>
      <c r="H134" s="41" t="n">
        <f aca="false">'Data Input'!S74</f>
        <v>0</v>
      </c>
      <c r="I134" s="21"/>
      <c r="J134" s="42" t="s">
        <v>27</v>
      </c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H134" s="4" t="n">
        <f aca="false">('Data Input'!C74-$A$1)*24</f>
        <v>22</v>
      </c>
      <c r="BI134" s="4" t="n">
        <f aca="false">('Data Input'!D74-$A$1)*24</f>
        <v>23</v>
      </c>
      <c r="BJ134" s="0" t="n">
        <v>1</v>
      </c>
      <c r="BO134" s="0" t="n">
        <v>-999</v>
      </c>
      <c r="BP134" s="0" t="n">
        <v>-999</v>
      </c>
    </row>
    <row r="135" customFormat="false" ht="11.25" hidden="false" customHeight="true" outlineLevel="0" collapsed="false">
      <c r="A135" s="34"/>
      <c r="B135" s="34"/>
      <c r="C135" s="36"/>
      <c r="D135" s="37"/>
      <c r="E135" s="37"/>
      <c r="F135" s="39"/>
      <c r="G135" s="40"/>
      <c r="H135" s="40"/>
      <c r="I135" s="40"/>
      <c r="J135" s="42" t="s">
        <v>28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H135" s="4" t="n">
        <f aca="false">IF($BK135="",-999,($BK135-$A$1)*24)</f>
        <v>-999</v>
      </c>
      <c r="BI135" s="4" t="n">
        <f aca="false">IF($BK135="",-999,(IF($BL135&lt;&gt;"",$BL135,IF($C$1&gt;$BK135,$C$1,$BK135+MAX('Data Input'!E74*$BM135,0.5)/24))-$A$1)*24)</f>
        <v>-999</v>
      </c>
      <c r="BJ135" s="4" t="n">
        <f aca="false">IF($BK135="",0,IF($BM135&gt;=1,IF($BN135&lt;=0,2,3),IF($BN135&lt;=0,4,5)))</f>
        <v>0</v>
      </c>
      <c r="BK135" s="0" t="str">
        <f aca="false">IF('Data Input'!Q74="","",'Data Input'!Q74)</f>
        <v/>
      </c>
      <c r="BL135" s="0" t="str">
        <f aca="false">IF('Data Input'!R74="","",'Data Input'!R74)</f>
        <v/>
      </c>
      <c r="BM135" s="4" t="n">
        <f aca="false">'Data Input'!S74</f>
        <v>0</v>
      </c>
      <c r="BN135" s="4" t="n">
        <f aca="false">'Data Input'!Y74</f>
        <v>18</v>
      </c>
      <c r="BO135" s="4" t="n">
        <f aca="false">IF($BM135&gt;=1,-999,MAX(($C$1-$A$1)*24,IF($BK135&lt;&gt;"",$BI135,$BP135-'Data Input'!E74)))</f>
        <v>40</v>
      </c>
      <c r="BP135" s="4" t="n">
        <f aca="false">('Data Input'!D74+'Data Input'!Y74/24-$A$1)*24</f>
        <v>41</v>
      </c>
    </row>
    <row r="136" customFormat="false" ht="11.25" hidden="false" customHeight="true" outlineLevel="0" collapsed="false">
      <c r="A136" s="34" t="n">
        <f aca="false">'Data Input'!A75</f>
        <v>19</v>
      </c>
      <c r="B136" s="35" t="str">
        <f aca="false">'Data Input'!B75</f>
        <v>ATW – 2U (out of destressing) (Line 1)</v>
      </c>
      <c r="C136" s="36" t="str">
        <f aca="false">'Data Input'!O75</f>
        <v>Not Started</v>
      </c>
      <c r="D136" s="37" t="n">
        <f aca="false">'Data Input'!D75</f>
        <v>46312.0416666667</v>
      </c>
      <c r="E136" s="38" t="n">
        <f aca="false">'Data Input'!D75+'Data Input'!Y75/24</f>
        <v>46312.7916666667</v>
      </c>
      <c r="F136" s="39" t="n">
        <f aca="false">'Data Input'!Y75</f>
        <v>18</v>
      </c>
      <c r="G136" s="40" t="n">
        <f aca="false">'Data Input'!T75</f>
        <v>0</v>
      </c>
      <c r="H136" s="41" t="n">
        <f aca="false">'Data Input'!S75</f>
        <v>0</v>
      </c>
      <c r="I136" s="21"/>
      <c r="J136" s="42" t="s">
        <v>27</v>
      </c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H136" s="4" t="n">
        <f aca="false">('Data Input'!C75-$A$1)*24</f>
        <v>23</v>
      </c>
      <c r="BI136" s="4" t="n">
        <f aca="false">('Data Input'!D75-$A$1)*24</f>
        <v>25</v>
      </c>
      <c r="BJ136" s="0" t="n">
        <v>1</v>
      </c>
      <c r="BO136" s="0" t="n">
        <v>-999</v>
      </c>
      <c r="BP136" s="0" t="n">
        <v>-999</v>
      </c>
    </row>
    <row r="137" customFormat="false" ht="11.25" hidden="false" customHeight="true" outlineLevel="0" collapsed="false">
      <c r="A137" s="34"/>
      <c r="B137" s="34"/>
      <c r="C137" s="36"/>
      <c r="D137" s="37"/>
      <c r="E137" s="37"/>
      <c r="F137" s="39"/>
      <c r="G137" s="40"/>
      <c r="H137" s="40"/>
      <c r="I137" s="40"/>
      <c r="J137" s="42" t="s">
        <v>28</v>
      </c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H137" s="4" t="n">
        <f aca="false">IF($BK137="",-999,($BK137-$A$1)*24)</f>
        <v>-999</v>
      </c>
      <c r="BI137" s="4" t="n">
        <f aca="false">IF($BK137="",-999,(IF($BL137&lt;&gt;"",$BL137,IF($C$1&gt;$BK137,$C$1,$BK137+MAX('Data Input'!E75*$BM137,0.5)/24))-$A$1)*24)</f>
        <v>-999</v>
      </c>
      <c r="BJ137" s="4" t="n">
        <f aca="false">IF($BK137="",0,IF($BM137&gt;=1,IF($BN137&lt;=0,2,3),IF($BN137&lt;=0,4,5)))</f>
        <v>0</v>
      </c>
      <c r="BK137" s="0" t="str">
        <f aca="false">IF('Data Input'!Q75="","",'Data Input'!Q75)</f>
        <v/>
      </c>
      <c r="BL137" s="0" t="str">
        <f aca="false">IF('Data Input'!R75="","",'Data Input'!R75)</f>
        <v/>
      </c>
      <c r="BM137" s="4" t="n">
        <f aca="false">'Data Input'!S75</f>
        <v>0</v>
      </c>
      <c r="BN137" s="4" t="n">
        <f aca="false">'Data Input'!Y75</f>
        <v>18</v>
      </c>
      <c r="BO137" s="4" t="n">
        <f aca="false">IF($BM137&gt;=1,-999,MAX(($C$1-$A$1)*24,IF($BK137&lt;&gt;"",$BI137,$BP137-'Data Input'!E75)))</f>
        <v>41</v>
      </c>
      <c r="BP137" s="4" t="n">
        <f aca="false">('Data Input'!D75+'Data Input'!Y75/24-$A$1)*24</f>
        <v>43</v>
      </c>
    </row>
    <row r="138" customFormat="false" ht="11.25" hidden="false" customHeight="true" outlineLevel="0" collapsed="false">
      <c r="A138" s="34" t="n">
        <f aca="false">'Data Input'!A76</f>
        <v>20</v>
      </c>
      <c r="B138" s="35" t="str">
        <f aca="false">'Data Input'!B76</f>
        <v>ATW – 2U (out of destressing) (Line 3)</v>
      </c>
      <c r="C138" s="36" t="str">
        <f aca="false">'Data Input'!O76</f>
        <v>Not Started</v>
      </c>
      <c r="D138" s="37" t="n">
        <f aca="false">'Data Input'!D76</f>
        <v>46312.125</v>
      </c>
      <c r="E138" s="38" t="n">
        <f aca="false">'Data Input'!D76+'Data Input'!Y76/24</f>
        <v>46312.875</v>
      </c>
      <c r="F138" s="39" t="n">
        <f aca="false">'Data Input'!Y76</f>
        <v>18</v>
      </c>
      <c r="G138" s="40" t="n">
        <f aca="false">'Data Input'!T76</f>
        <v>0</v>
      </c>
      <c r="H138" s="41" t="n">
        <f aca="false">'Data Input'!S76</f>
        <v>0</v>
      </c>
      <c r="I138" s="21"/>
      <c r="J138" s="42" t="s">
        <v>27</v>
      </c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H138" s="4" t="n">
        <f aca="false">('Data Input'!C76-$A$1)*24</f>
        <v>25</v>
      </c>
      <c r="BI138" s="4" t="n">
        <f aca="false">('Data Input'!D76-$A$1)*24</f>
        <v>27</v>
      </c>
      <c r="BJ138" s="0" t="n">
        <v>1</v>
      </c>
      <c r="BO138" s="0" t="n">
        <v>-999</v>
      </c>
      <c r="BP138" s="0" t="n">
        <v>-999</v>
      </c>
    </row>
    <row r="139" customFormat="false" ht="11.25" hidden="false" customHeight="true" outlineLevel="0" collapsed="false">
      <c r="A139" s="34"/>
      <c r="B139" s="34"/>
      <c r="C139" s="36"/>
      <c r="D139" s="37"/>
      <c r="E139" s="37"/>
      <c r="F139" s="39"/>
      <c r="G139" s="40"/>
      <c r="H139" s="40"/>
      <c r="I139" s="40"/>
      <c r="J139" s="42" t="s">
        <v>28</v>
      </c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H139" s="4" t="n">
        <f aca="false">IF($BK139="",-999,($BK139-$A$1)*24)</f>
        <v>-999</v>
      </c>
      <c r="BI139" s="4" t="n">
        <f aca="false">IF($BK139="",-999,(IF($BL139&lt;&gt;"",$BL139,IF($C$1&gt;$BK139,$C$1,$BK139+MAX('Data Input'!E76*$BM139,0.5)/24))-$A$1)*24)</f>
        <v>-999</v>
      </c>
      <c r="BJ139" s="4" t="n">
        <f aca="false">IF($BK139="",0,IF($BM139&gt;=1,IF($BN139&lt;=0,2,3),IF($BN139&lt;=0,4,5)))</f>
        <v>0</v>
      </c>
      <c r="BK139" s="0" t="str">
        <f aca="false">IF('Data Input'!Q76="","",'Data Input'!Q76)</f>
        <v/>
      </c>
      <c r="BL139" s="0" t="str">
        <f aca="false">IF('Data Input'!R76="","",'Data Input'!R76)</f>
        <v/>
      </c>
      <c r="BM139" s="4" t="n">
        <f aca="false">'Data Input'!S76</f>
        <v>0</v>
      </c>
      <c r="BN139" s="4" t="n">
        <f aca="false">'Data Input'!Y76</f>
        <v>18</v>
      </c>
      <c r="BO139" s="4" t="n">
        <f aca="false">IF($BM139&gt;=1,-999,MAX(($C$1-$A$1)*24,IF($BK139&lt;&gt;"",$BI139,$BP139-'Data Input'!E76)))</f>
        <v>43</v>
      </c>
      <c r="BP139" s="4" t="n">
        <f aca="false">('Data Input'!D76+'Data Input'!Y76/24-$A$1)*24</f>
        <v>45</v>
      </c>
    </row>
    <row r="140" customFormat="false" ht="11.25" hidden="false" customHeight="true" outlineLevel="0" collapsed="false">
      <c r="A140" s="34" t="n">
        <f aca="false">'Data Input'!A77</f>
        <v>21</v>
      </c>
      <c r="B140" s="35" t="str">
        <f aca="false">'Data Input'!B77</f>
        <v>1st &amp; 2nd Ballasting / Tamping (Line 1)</v>
      </c>
      <c r="C140" s="36" t="str">
        <f aca="false">'Data Input'!O77</f>
        <v>Not Started</v>
      </c>
      <c r="D140" s="37" t="n">
        <f aca="false">'Data Input'!D77</f>
        <v>46312.1666666667</v>
      </c>
      <c r="E140" s="38" t="n">
        <f aca="false">'Data Input'!D77+'Data Input'!Y77/24</f>
        <v>46312.9166666667</v>
      </c>
      <c r="F140" s="39" t="n">
        <f aca="false">'Data Input'!Y77</f>
        <v>18</v>
      </c>
      <c r="G140" s="40" t="n">
        <f aca="false">'Data Input'!T77</f>
        <v>0</v>
      </c>
      <c r="H140" s="41" t="n">
        <f aca="false">'Data Input'!S77</f>
        <v>0</v>
      </c>
      <c r="I140" s="21"/>
      <c r="J140" s="42" t="s">
        <v>27</v>
      </c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H140" s="4" t="n">
        <f aca="false">('Data Input'!C77-$A$1)*24</f>
        <v>27</v>
      </c>
      <c r="BI140" s="4" t="n">
        <f aca="false">('Data Input'!D77-$A$1)*24</f>
        <v>28</v>
      </c>
      <c r="BJ140" s="0" t="n">
        <v>1</v>
      </c>
      <c r="BO140" s="0" t="n">
        <v>-999</v>
      </c>
      <c r="BP140" s="0" t="n">
        <v>-999</v>
      </c>
    </row>
    <row r="141" customFormat="false" ht="11.25" hidden="false" customHeight="true" outlineLevel="0" collapsed="false">
      <c r="A141" s="34"/>
      <c r="B141" s="34"/>
      <c r="C141" s="36"/>
      <c r="D141" s="37"/>
      <c r="E141" s="37"/>
      <c r="F141" s="39"/>
      <c r="G141" s="40"/>
      <c r="H141" s="40"/>
      <c r="I141" s="40"/>
      <c r="J141" s="42" t="s">
        <v>28</v>
      </c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H141" s="4" t="n">
        <f aca="false">IF($BK141="",-999,($BK141-$A$1)*24)</f>
        <v>-999</v>
      </c>
      <c r="BI141" s="4" t="n">
        <f aca="false">IF($BK141="",-999,(IF($BL141&lt;&gt;"",$BL141,IF($C$1&gt;$BK141,$C$1,$BK141+MAX('Data Input'!E77*$BM141,0.5)/24))-$A$1)*24)</f>
        <v>-999</v>
      </c>
      <c r="BJ141" s="4" t="n">
        <f aca="false">IF($BK141="",0,IF($BM141&gt;=1,IF($BN141&lt;=0,2,3),IF($BN141&lt;=0,4,5)))</f>
        <v>0</v>
      </c>
      <c r="BK141" s="0" t="str">
        <f aca="false">IF('Data Input'!Q77="","",'Data Input'!Q77)</f>
        <v/>
      </c>
      <c r="BL141" s="0" t="str">
        <f aca="false">IF('Data Input'!R77="","",'Data Input'!R77)</f>
        <v/>
      </c>
      <c r="BM141" s="4" t="n">
        <f aca="false">'Data Input'!S77</f>
        <v>0</v>
      </c>
      <c r="BN141" s="4" t="n">
        <f aca="false">'Data Input'!Y77</f>
        <v>18</v>
      </c>
      <c r="BO141" s="4" t="n">
        <f aca="false">IF($BM141&gt;=1,-999,MAX(($C$1-$A$1)*24,IF($BK141&lt;&gt;"",$BI141,$BP141-'Data Input'!E77)))</f>
        <v>45</v>
      </c>
      <c r="BP141" s="4" t="n">
        <f aca="false">('Data Input'!D77+'Data Input'!Y77/24-$A$1)*24</f>
        <v>46</v>
      </c>
    </row>
    <row r="142" customFormat="false" ht="11.25" hidden="false" customHeight="true" outlineLevel="0" collapsed="false">
      <c r="A142" s="34" t="n">
        <f aca="false">'Data Input'!A78</f>
        <v>22</v>
      </c>
      <c r="B142" s="35" t="str">
        <f aca="false">'Data Input'!B78</f>
        <v>Final Ballasting / Tamping (Line 3)</v>
      </c>
      <c r="C142" s="36" t="str">
        <f aca="false">'Data Input'!O78</f>
        <v>Not Started</v>
      </c>
      <c r="D142" s="37" t="n">
        <f aca="false">'Data Input'!D78</f>
        <v>46312.2083333333</v>
      </c>
      <c r="E142" s="38" t="n">
        <f aca="false">'Data Input'!D78+'Data Input'!Y78/24</f>
        <v>46312.9583333333</v>
      </c>
      <c r="F142" s="39" t="n">
        <f aca="false">'Data Input'!Y78</f>
        <v>18</v>
      </c>
      <c r="G142" s="40" t="n">
        <f aca="false">'Data Input'!T78</f>
        <v>0</v>
      </c>
      <c r="H142" s="41" t="n">
        <f aca="false">'Data Input'!S78</f>
        <v>0</v>
      </c>
      <c r="I142" s="21"/>
      <c r="J142" s="42" t="s">
        <v>27</v>
      </c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H142" s="4" t="n">
        <f aca="false">('Data Input'!C78-$A$1)*24</f>
        <v>28</v>
      </c>
      <c r="BI142" s="4" t="n">
        <f aca="false">('Data Input'!D78-$A$1)*24</f>
        <v>29</v>
      </c>
      <c r="BJ142" s="0" t="n">
        <v>1</v>
      </c>
      <c r="BO142" s="0" t="n">
        <v>-999</v>
      </c>
      <c r="BP142" s="0" t="n">
        <v>-999</v>
      </c>
    </row>
    <row r="143" customFormat="false" ht="11.25" hidden="false" customHeight="true" outlineLevel="0" collapsed="false">
      <c r="A143" s="34"/>
      <c r="B143" s="34"/>
      <c r="C143" s="36"/>
      <c r="D143" s="37"/>
      <c r="E143" s="37"/>
      <c r="F143" s="39"/>
      <c r="G143" s="40"/>
      <c r="H143" s="40"/>
      <c r="I143" s="40"/>
      <c r="J143" s="42" t="s">
        <v>28</v>
      </c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H143" s="4" t="n">
        <f aca="false">IF($BK143="",-999,($BK143-$A$1)*24)</f>
        <v>-999</v>
      </c>
      <c r="BI143" s="4" t="n">
        <f aca="false">IF($BK143="",-999,(IF($BL143&lt;&gt;"",$BL143,IF($C$1&gt;$BK143,$C$1,$BK143+MAX('Data Input'!E78*$BM143,0.5)/24))-$A$1)*24)</f>
        <v>-999</v>
      </c>
      <c r="BJ143" s="4" t="n">
        <f aca="false">IF($BK143="",0,IF($BM143&gt;=1,IF($BN143&lt;=0,2,3),IF($BN143&lt;=0,4,5)))</f>
        <v>0</v>
      </c>
      <c r="BK143" s="0" t="str">
        <f aca="false">IF('Data Input'!Q78="","",'Data Input'!Q78)</f>
        <v/>
      </c>
      <c r="BL143" s="0" t="str">
        <f aca="false">IF('Data Input'!R78="","",'Data Input'!R78)</f>
        <v/>
      </c>
      <c r="BM143" s="4" t="n">
        <f aca="false">'Data Input'!S78</f>
        <v>0</v>
      </c>
      <c r="BN143" s="4" t="n">
        <f aca="false">'Data Input'!Y78</f>
        <v>18</v>
      </c>
      <c r="BO143" s="4" t="n">
        <f aca="false">IF($BM143&gt;=1,-999,MAX(($C$1-$A$1)*24,IF($BK143&lt;&gt;"",$BI143,$BP143-'Data Input'!E78)))</f>
        <v>46</v>
      </c>
      <c r="BP143" s="4" t="n">
        <f aca="false">('Data Input'!D78+'Data Input'!Y78/24-$A$1)*24</f>
        <v>47</v>
      </c>
    </row>
    <row r="144" customFormat="false" ht="11.25" hidden="false" customHeight="true" outlineLevel="0" collapsed="false">
      <c r="A144" s="34" t="n">
        <f aca="false">'Data Input'!A79</f>
        <v>23</v>
      </c>
      <c r="B144" s="35" t="str">
        <f aca="false">'Data Input'!B79</f>
        <v>OTMP back towards station 29</v>
      </c>
      <c r="C144" s="36" t="str">
        <f aca="false">'Data Input'!O79</f>
        <v>Not Started</v>
      </c>
      <c r="D144" s="37" t="n">
        <f aca="false">'Data Input'!D79</f>
        <v>46312.2916666667</v>
      </c>
      <c r="E144" s="38" t="n">
        <f aca="false">'Data Input'!D79+'Data Input'!Y79/24</f>
        <v>46313.0416666667</v>
      </c>
      <c r="F144" s="39" t="n">
        <f aca="false">'Data Input'!Y79</f>
        <v>18</v>
      </c>
      <c r="G144" s="40" t="n">
        <f aca="false">'Data Input'!T79</f>
        <v>0</v>
      </c>
      <c r="H144" s="41" t="n">
        <f aca="false">'Data Input'!S79</f>
        <v>0</v>
      </c>
      <c r="I144" s="21"/>
      <c r="J144" s="42" t="s">
        <v>27</v>
      </c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H144" s="4" t="n">
        <f aca="false">('Data Input'!C79-$A$1)*24</f>
        <v>29</v>
      </c>
      <c r="BI144" s="4" t="n">
        <f aca="false">('Data Input'!D79-$A$1)*24</f>
        <v>31</v>
      </c>
      <c r="BJ144" s="0" t="n">
        <v>1</v>
      </c>
      <c r="BO144" s="0" t="n">
        <v>-999</v>
      </c>
      <c r="BP144" s="0" t="n">
        <v>-999</v>
      </c>
    </row>
    <row r="145" customFormat="false" ht="11.25" hidden="false" customHeight="true" outlineLevel="0" collapsed="false">
      <c r="A145" s="34"/>
      <c r="B145" s="34"/>
      <c r="C145" s="36"/>
      <c r="D145" s="37"/>
      <c r="E145" s="37"/>
      <c r="F145" s="39"/>
      <c r="G145" s="40"/>
      <c r="H145" s="40"/>
      <c r="I145" s="40"/>
      <c r="J145" s="42" t="s">
        <v>28</v>
      </c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H145" s="4" t="n">
        <f aca="false">IF($BK145="",-999,($BK145-$A$1)*24)</f>
        <v>-999</v>
      </c>
      <c r="BI145" s="4" t="n">
        <f aca="false">IF($BK145="",-999,(IF($BL145&lt;&gt;"",$BL145,IF($C$1&gt;$BK145,$C$1,$BK145+MAX('Data Input'!E79*$BM145,0.5)/24))-$A$1)*24)</f>
        <v>-999</v>
      </c>
      <c r="BJ145" s="4" t="n">
        <f aca="false">IF($BK145="",0,IF($BM145&gt;=1,IF($BN145&lt;=0,2,3),IF($BN145&lt;=0,4,5)))</f>
        <v>0</v>
      </c>
      <c r="BK145" s="0" t="str">
        <f aca="false">IF('Data Input'!Q79="","",'Data Input'!Q79)</f>
        <v/>
      </c>
      <c r="BL145" s="0" t="str">
        <f aca="false">IF('Data Input'!R79="","",'Data Input'!R79)</f>
        <v/>
      </c>
      <c r="BM145" s="4" t="n">
        <f aca="false">'Data Input'!S79</f>
        <v>0</v>
      </c>
      <c r="BN145" s="4" t="n">
        <f aca="false">'Data Input'!Y79</f>
        <v>18</v>
      </c>
      <c r="BO145" s="4" t="n">
        <f aca="false">IF($BM145&gt;=1,-999,MAX(($C$1-$A$1)*24,IF($BK145&lt;&gt;"",$BI145,$BP145-'Data Input'!E79)))</f>
        <v>47</v>
      </c>
      <c r="BP145" s="4" t="n">
        <f aca="false">('Data Input'!D79+'Data Input'!Y79/24-$A$1)*24</f>
        <v>49</v>
      </c>
    </row>
    <row r="146" customFormat="false" ht="11.25" hidden="false" customHeight="true" outlineLevel="0" collapsed="false">
      <c r="A146" s="34" t="n">
        <f aca="false">'Data Input'!A80</f>
        <v>24</v>
      </c>
      <c r="B146" s="35" t="str">
        <f aca="false">'Data Input'!B80</f>
        <v>Destressing (incl. 2 ATW) (Line 1)</v>
      </c>
      <c r="C146" s="36" t="str">
        <f aca="false">'Data Input'!O80</f>
        <v>Not Started</v>
      </c>
      <c r="D146" s="37" t="n">
        <f aca="false">'Data Input'!D80</f>
        <v>46312.4583333333</v>
      </c>
      <c r="E146" s="38" t="n">
        <f aca="false">'Data Input'!D80+'Data Input'!Y80/24</f>
        <v>46313.2083333333</v>
      </c>
      <c r="F146" s="39" t="n">
        <f aca="false">'Data Input'!Y80</f>
        <v>18</v>
      </c>
      <c r="G146" s="40" t="n">
        <f aca="false">'Data Input'!T80</f>
        <v>0</v>
      </c>
      <c r="H146" s="41" t="n">
        <f aca="false">'Data Input'!S80</f>
        <v>0</v>
      </c>
      <c r="I146" s="21"/>
      <c r="J146" s="42" t="s">
        <v>27</v>
      </c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H146" s="4" t="n">
        <f aca="false">('Data Input'!C80-$A$1)*24</f>
        <v>31</v>
      </c>
      <c r="BI146" s="4" t="n">
        <f aca="false">('Data Input'!D80-$A$1)*24</f>
        <v>35</v>
      </c>
      <c r="BJ146" s="0" t="n">
        <v>1</v>
      </c>
      <c r="BO146" s="0" t="n">
        <v>-999</v>
      </c>
      <c r="BP146" s="0" t="n">
        <v>-999</v>
      </c>
    </row>
    <row r="147" customFormat="false" ht="11.25" hidden="false" customHeight="true" outlineLevel="0" collapsed="false">
      <c r="A147" s="34"/>
      <c r="B147" s="34"/>
      <c r="C147" s="36"/>
      <c r="D147" s="37"/>
      <c r="E147" s="37"/>
      <c r="F147" s="39"/>
      <c r="G147" s="40"/>
      <c r="H147" s="40"/>
      <c r="I147" s="40"/>
      <c r="J147" s="42" t="s">
        <v>28</v>
      </c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H147" s="4" t="n">
        <f aca="false">IF($BK147="",-999,($BK147-$A$1)*24)</f>
        <v>-999</v>
      </c>
      <c r="BI147" s="4" t="n">
        <f aca="false">IF($BK147="",-999,(IF($BL147&lt;&gt;"",$BL147,IF($C$1&gt;$BK147,$C$1,$BK147+MAX('Data Input'!E80*$BM147,0.5)/24))-$A$1)*24)</f>
        <v>-999</v>
      </c>
      <c r="BJ147" s="4" t="n">
        <f aca="false">IF($BK147="",0,IF($BM147&gt;=1,IF($BN147&lt;=0,2,3),IF($BN147&lt;=0,4,5)))</f>
        <v>0</v>
      </c>
      <c r="BK147" s="0" t="str">
        <f aca="false">IF('Data Input'!Q80="","",'Data Input'!Q80)</f>
        <v/>
      </c>
      <c r="BL147" s="0" t="str">
        <f aca="false">IF('Data Input'!R80="","",'Data Input'!R80)</f>
        <v/>
      </c>
      <c r="BM147" s="4" t="n">
        <f aca="false">'Data Input'!S80</f>
        <v>0</v>
      </c>
      <c r="BN147" s="4" t="n">
        <f aca="false">'Data Input'!Y80</f>
        <v>18</v>
      </c>
      <c r="BO147" s="4" t="n">
        <f aca="false">IF($BM147&gt;=1,-999,MAX(($C$1-$A$1)*24,IF($BK147&lt;&gt;"",$BI147,$BP147-'Data Input'!E80)))</f>
        <v>49</v>
      </c>
      <c r="BP147" s="4" t="n">
        <f aca="false">('Data Input'!D80+'Data Input'!Y80/24-$A$1)*24</f>
        <v>53</v>
      </c>
    </row>
    <row r="148" customFormat="false" ht="11.25" hidden="false" customHeight="true" outlineLevel="0" collapsed="false">
      <c r="A148" s="34" t="n">
        <f aca="false">'Data Input'!A81</f>
        <v>25</v>
      </c>
      <c r="B148" s="35" t="str">
        <f aca="false">'Data Input'!B81</f>
        <v>Destressing (incl. 2 ATW) (Line 3)</v>
      </c>
      <c r="C148" s="36" t="str">
        <f aca="false">'Data Input'!O81</f>
        <v>Not Started</v>
      </c>
      <c r="D148" s="37" t="n">
        <f aca="false">'Data Input'!D81</f>
        <v>46312.625</v>
      </c>
      <c r="E148" s="38" t="n">
        <f aca="false">'Data Input'!D81+'Data Input'!Y81/24</f>
        <v>46313.375</v>
      </c>
      <c r="F148" s="39" t="n">
        <f aca="false">'Data Input'!Y81</f>
        <v>18</v>
      </c>
      <c r="G148" s="40" t="n">
        <f aca="false">'Data Input'!T81</f>
        <v>0</v>
      </c>
      <c r="H148" s="41" t="n">
        <f aca="false">'Data Input'!S81</f>
        <v>0</v>
      </c>
      <c r="I148" s="21"/>
      <c r="J148" s="42" t="s">
        <v>27</v>
      </c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H148" s="4" t="n">
        <f aca="false">('Data Input'!C81-$A$1)*24</f>
        <v>35</v>
      </c>
      <c r="BI148" s="4" t="n">
        <f aca="false">('Data Input'!D81-$A$1)*24</f>
        <v>39</v>
      </c>
      <c r="BJ148" s="0" t="n">
        <v>1</v>
      </c>
      <c r="BO148" s="0" t="n">
        <v>-999</v>
      </c>
      <c r="BP148" s="0" t="n">
        <v>-999</v>
      </c>
    </row>
    <row r="149" customFormat="false" ht="11.25" hidden="false" customHeight="true" outlineLevel="0" collapsed="false">
      <c r="A149" s="34"/>
      <c r="B149" s="34"/>
      <c r="C149" s="36"/>
      <c r="D149" s="37"/>
      <c r="E149" s="37"/>
      <c r="F149" s="39"/>
      <c r="G149" s="40"/>
      <c r="H149" s="40"/>
      <c r="I149" s="40"/>
      <c r="J149" s="42" t="s">
        <v>28</v>
      </c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H149" s="4" t="n">
        <f aca="false">IF($BK149="",-999,($BK149-$A$1)*24)</f>
        <v>-999</v>
      </c>
      <c r="BI149" s="4" t="n">
        <f aca="false">IF($BK149="",-999,(IF($BL149&lt;&gt;"",$BL149,IF($C$1&gt;$BK149,$C$1,$BK149+MAX('Data Input'!E81*$BM149,0.5)/24))-$A$1)*24)</f>
        <v>-999</v>
      </c>
      <c r="BJ149" s="4" t="n">
        <f aca="false">IF($BK149="",0,IF($BM149&gt;=1,IF($BN149&lt;=0,2,3),IF($BN149&lt;=0,4,5)))</f>
        <v>0</v>
      </c>
      <c r="BK149" s="0" t="str">
        <f aca="false">IF('Data Input'!Q81="","",'Data Input'!Q81)</f>
        <v/>
      </c>
      <c r="BL149" s="0" t="str">
        <f aca="false">IF('Data Input'!R81="","",'Data Input'!R81)</f>
        <v/>
      </c>
      <c r="BM149" s="4" t="n">
        <f aca="false">'Data Input'!S81</f>
        <v>0</v>
      </c>
      <c r="BN149" s="4" t="n">
        <f aca="false">'Data Input'!Y81</f>
        <v>18</v>
      </c>
      <c r="BO149" s="4" t="n">
        <f aca="false">IF($BM149&gt;=1,-999,MAX(($C$1-$A$1)*24,IF($BK149&lt;&gt;"",$BI149,$BP149-'Data Input'!E81)))</f>
        <v>53</v>
      </c>
      <c r="BP149" s="4" t="n">
        <f aca="false">('Data Input'!D81+'Data Input'!Y81/24-$A$1)*24</f>
        <v>57</v>
      </c>
    </row>
    <row r="150" customFormat="false" ht="11.25" hidden="false" customHeight="true" outlineLevel="0" collapsed="false">
      <c r="A150" s="34" t="n">
        <f aca="false">'Data Input'!A82</f>
        <v>26</v>
      </c>
      <c r="B150" s="35" t="str">
        <f aca="false">'Data Input'!B82</f>
        <v>Finishing (grinding, stamp, UT, inspection)</v>
      </c>
      <c r="C150" s="36" t="str">
        <f aca="false">'Data Input'!O82</f>
        <v>Not Started</v>
      </c>
      <c r="D150" s="37" t="n">
        <f aca="false">'Data Input'!D82</f>
        <v>46312.9166666667</v>
      </c>
      <c r="E150" s="38" t="n">
        <f aca="false">'Data Input'!D82+'Data Input'!Y82/24</f>
        <v>46313.6666666667</v>
      </c>
      <c r="F150" s="39" t="n">
        <f aca="false">'Data Input'!Y82</f>
        <v>18</v>
      </c>
      <c r="G150" s="40" t="n">
        <f aca="false">'Data Input'!T82</f>
        <v>0</v>
      </c>
      <c r="H150" s="41" t="n">
        <f aca="false">'Data Input'!S82</f>
        <v>0</v>
      </c>
      <c r="I150" s="21"/>
      <c r="J150" s="42" t="s">
        <v>27</v>
      </c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H150" s="4" t="n">
        <f aca="false">('Data Input'!C82-$A$1)*24</f>
        <v>39</v>
      </c>
      <c r="BI150" s="4" t="n">
        <f aca="false">('Data Input'!D82-$A$1)*24</f>
        <v>46</v>
      </c>
      <c r="BJ150" s="0" t="n">
        <v>1</v>
      </c>
      <c r="BO150" s="0" t="n">
        <v>-999</v>
      </c>
      <c r="BP150" s="0" t="n">
        <v>-999</v>
      </c>
    </row>
    <row r="151" customFormat="false" ht="11.25" hidden="false" customHeight="true" outlineLevel="0" collapsed="false">
      <c r="A151" s="34"/>
      <c r="B151" s="34"/>
      <c r="C151" s="36"/>
      <c r="D151" s="37"/>
      <c r="E151" s="37"/>
      <c r="F151" s="39"/>
      <c r="G151" s="40"/>
      <c r="H151" s="40"/>
      <c r="I151" s="40"/>
      <c r="J151" s="42" t="s">
        <v>28</v>
      </c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H151" s="4" t="n">
        <f aca="false">IF($BK151="",-999,($BK151-$A$1)*24)</f>
        <v>-999</v>
      </c>
      <c r="BI151" s="4" t="n">
        <f aca="false">IF($BK151="",-999,(IF($BL151&lt;&gt;"",$BL151,IF($C$1&gt;$BK151,$C$1,$BK151+MAX('Data Input'!E82*$BM151,0.5)/24))-$A$1)*24)</f>
        <v>-999</v>
      </c>
      <c r="BJ151" s="4" t="n">
        <f aca="false">IF($BK151="",0,IF($BM151&gt;=1,IF($BN151&lt;=0,2,3),IF($BN151&lt;=0,4,5)))</f>
        <v>0</v>
      </c>
      <c r="BK151" s="0" t="str">
        <f aca="false">IF('Data Input'!Q82="","",'Data Input'!Q82)</f>
        <v/>
      </c>
      <c r="BL151" s="0" t="str">
        <f aca="false">IF('Data Input'!R82="","",'Data Input'!R82)</f>
        <v/>
      </c>
      <c r="BM151" s="4" t="n">
        <f aca="false">'Data Input'!S82</f>
        <v>0</v>
      </c>
      <c r="BN151" s="4" t="n">
        <f aca="false">'Data Input'!Y82</f>
        <v>18</v>
      </c>
      <c r="BO151" s="4" t="n">
        <f aca="false">IF($BM151&gt;=1,-999,MAX(($C$1-$A$1)*24,IF($BK151&lt;&gt;"",$BI151,$BP151-'Data Input'!E82)))</f>
        <v>57</v>
      </c>
      <c r="BP151" s="4" t="n">
        <f aca="false">('Data Input'!D82+'Data Input'!Y82/24-$A$1)*24</f>
        <v>64</v>
      </c>
    </row>
    <row r="152" customFormat="false" ht="21" hidden="false" customHeight="true" outlineLevel="0" collapsed="false">
      <c r="A152" s="45" t="str">
        <f aca="false">"  TOTAL  -  "&amp;'Data Input'!$B$16</f>
        <v>  TOTAL  -  C265  –  KM 210+525</v>
      </c>
      <c r="B152" s="45"/>
      <c r="C152" s="46" t="str">
        <f aca="false">C14</f>
        <v>AT RISK</v>
      </c>
      <c r="D152" s="24" t="n">
        <f aca="false">D14</f>
        <v>46312.9166666667</v>
      </c>
      <c r="E152" s="24" t="n">
        <f aca="false">E14</f>
        <v>46313.6666666667</v>
      </c>
      <c r="F152" s="25" t="n">
        <f aca="false">F14</f>
        <v>18</v>
      </c>
      <c r="G152" s="47" t="n">
        <f aca="false">G14</f>
        <v>0.416666666666667</v>
      </c>
      <c r="H152" s="48" t="n">
        <f aca="false">H14</f>
        <v>0</v>
      </c>
      <c r="I152" s="49" t="n">
        <f aca="false">I14</f>
        <v>-16</v>
      </c>
      <c r="J152" s="50"/>
      <c r="K152" s="51" t="str">
        <f aca="false">"TOTAL  "&amp;TEXT(SUM('Data Input'!E57:E82),"0.0")&amp;" activity hours          Possession elapsed  "&amp;TEXT(MEDIAN(0,($C$1-$A$1)*24,($B$1-$A$1)*24),"0.0")&amp;"  of  "&amp;TEXT(($B$1-$A$1)*24,"0.0")&amp;" h          Report cut-off  "&amp;TEXT($C$1,"ddd dd-mmm hh:mm")</f>
        <v>TOTAL  48.0 activity hours          Possession elapsed  18.0  of  48.0 h          Report cut-off  Fri 16-Oct 18:00</v>
      </c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</row>
    <row r="153" customFormat="false" ht="15.75" hidden="false" customHeight="true" outlineLevel="0" collapsed="false">
      <c r="A153" s="52"/>
      <c r="B153" s="53" t="s">
        <v>29</v>
      </c>
      <c r="C153" s="53"/>
      <c r="D153" s="54" t="s">
        <v>30</v>
      </c>
      <c r="E153" s="54"/>
      <c r="F153" s="54"/>
      <c r="G153" s="54" t="s">
        <v>31</v>
      </c>
      <c r="H153" s="54"/>
      <c r="I153" s="54"/>
      <c r="O153" s="55"/>
      <c r="P153" s="53" t="s">
        <v>32</v>
      </c>
      <c r="Q153" s="53"/>
      <c r="R153" s="53"/>
      <c r="S153" s="53"/>
      <c r="T153" s="53"/>
      <c r="U153" s="53"/>
      <c r="V153" s="53"/>
      <c r="X153" s="56"/>
      <c r="Y153" s="53" t="s">
        <v>33</v>
      </c>
      <c r="Z153" s="53"/>
      <c r="AA153" s="53"/>
      <c r="AB153" s="53"/>
      <c r="AC153" s="53"/>
      <c r="AD153" s="53"/>
      <c r="AE153" s="53"/>
      <c r="AG153" s="57"/>
      <c r="AH153" s="53" t="s">
        <v>34</v>
      </c>
      <c r="AI153" s="53"/>
      <c r="AJ153" s="53"/>
      <c r="AK153" s="53"/>
      <c r="AL153" s="53"/>
      <c r="AM153" s="53"/>
      <c r="AN153" s="53"/>
      <c r="AP153" s="58"/>
      <c r="AQ153" s="53" t="s">
        <v>35</v>
      </c>
      <c r="AR153" s="53"/>
      <c r="AS153" s="53"/>
      <c r="AT153" s="53"/>
      <c r="AU153" s="53"/>
      <c r="AV153" s="53"/>
      <c r="AW153" s="53"/>
      <c r="AY153" s="59"/>
      <c r="AZ153" s="53" t="s">
        <v>36</v>
      </c>
      <c r="BA153" s="53"/>
      <c r="BB153" s="53"/>
      <c r="BC153" s="53"/>
      <c r="BD153" s="53"/>
      <c r="BE153" s="53"/>
      <c r="BF153" s="53"/>
    </row>
    <row r="155" customFormat="false" ht="25.5" hidden="false" customHeight="true" outlineLevel="0" collapsed="false">
      <c r="A155" s="29" t="s">
        <v>38</v>
      </c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</row>
    <row r="156" customFormat="false" ht="21.75" hidden="false" customHeight="true" outlineLevel="0" collapsed="false">
      <c r="A156" s="30" t="str">
        <f aca="false">"   3 cells        ACTUAL  "&amp;TEXT(H15,"0%")&amp;"        PLANNED  "&amp;TEXT(G15,"0%")&amp;"        PLAN FINISH  "&amp;TEXT(D15,"ddd dd-mmm hh:mm")</f>
        <v>   3 cells        ACTUAL  0%        PLANNED  49%        PLAN FINISH  Sat 17-Oct 15:00</v>
      </c>
      <c r="B156" s="30"/>
      <c r="C156" s="30"/>
      <c r="D156" s="30"/>
      <c r="E156" s="30"/>
      <c r="F156" s="30"/>
      <c r="G156" s="30"/>
      <c r="H156" s="30"/>
      <c r="I156" s="30"/>
      <c r="K156" s="31" t="str">
        <f aca="false">C15&amp;"        FORECAST  "&amp;TEXT(E15,"ddd dd-mmm hh:mm")&amp;"        "&amp;TEXT(ABS(F15),"0.0")&amp;IF(F15&gt;0," h LATE",IF(F15&lt;0," h EARLY"," h"))</f>
        <v>AT RISK        FORECAST  Sun 18-Oct 09:00        18.0 h LATE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</row>
    <row r="157" customFormat="false" ht="27.75" hidden="false" customHeight="true" outlineLevel="0" collapsed="false">
      <c r="A157" s="11" t="s">
        <v>24</v>
      </c>
      <c r="B157" s="11" t="s">
        <v>25</v>
      </c>
      <c r="C157" s="11" t="s">
        <v>8</v>
      </c>
      <c r="D157" s="11" t="s">
        <v>9</v>
      </c>
      <c r="E157" s="11" t="s">
        <v>10</v>
      </c>
      <c r="F157" s="11" t="s">
        <v>11</v>
      </c>
      <c r="G157" s="11" t="s">
        <v>12</v>
      </c>
      <c r="H157" s="11" t="s">
        <v>26</v>
      </c>
      <c r="I157" s="11" t="s">
        <v>14</v>
      </c>
      <c r="K157" s="32" t="str">
        <f aca="false">UPPER(TEXT($A$1+($D$1+0*$E$1)/24,"ddd  dd-mmm  hh:mm")&amp;"  to  "&amp;TEXT($A$1+($D$1+24*$E$1)/24,"ddd  dd-mmm  hh:mm"))</f>
        <v>FRI  16-OCT  00:00  TO  SAT  17-OCT  00:00</v>
      </c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 t="str">
        <f aca="false">UPPER(TEXT($A$1+($D$1+24*$E$1)/24,"ddd  dd-mmm  hh:mm")&amp;"  to  "&amp;TEXT($A$1+($D$1+48*$E$1)/24,"ddd  dd-mmm  hh:mm"))</f>
        <v>SAT  17-OCT  00:00  TO  SUN  18-OCT  00:00</v>
      </c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</row>
    <row r="158" customFormat="false" ht="15.75" hidden="false" customHeight="true" outlineLevel="0" collapsed="false">
      <c r="K158" s="33" t="str">
        <f aca="false">TEXT($A$1+($D$1+0*$E$1)/24,"hh:mm")&amp;" - "&amp;TEXT($A$1+($D$1+6*$E$1)/24,"hh:mm")</f>
        <v>00:00 - 06:00</v>
      </c>
      <c r="L158" s="33"/>
      <c r="M158" s="33"/>
      <c r="N158" s="33"/>
      <c r="O158" s="33"/>
      <c r="P158" s="33"/>
      <c r="Q158" s="33" t="str">
        <f aca="false">TEXT($A$1+($D$1+6*$E$1)/24,"hh:mm")&amp;" - "&amp;TEXT($A$1+($D$1+12*$E$1)/24,"hh:mm")</f>
        <v>06:00 - 12:00</v>
      </c>
      <c r="R158" s="33"/>
      <c r="S158" s="33"/>
      <c r="T158" s="33"/>
      <c r="U158" s="33"/>
      <c r="V158" s="33"/>
      <c r="W158" s="33" t="str">
        <f aca="false">TEXT($A$1+($D$1+12*$E$1)/24,"hh:mm")&amp;" - "&amp;TEXT($A$1+($D$1+18*$E$1)/24,"hh:mm")</f>
        <v>12:00 - 18:00</v>
      </c>
      <c r="X158" s="33"/>
      <c r="Y158" s="33"/>
      <c r="Z158" s="33"/>
      <c r="AA158" s="33"/>
      <c r="AB158" s="33"/>
      <c r="AC158" s="33" t="str">
        <f aca="false">TEXT($A$1+($D$1+18*$E$1)/24,"hh:mm")&amp;" - "&amp;TEXT($A$1+($D$1+24*$E$1)/24,"hh:mm")</f>
        <v>18:00 - 00:00</v>
      </c>
      <c r="AD158" s="33"/>
      <c r="AE158" s="33"/>
      <c r="AF158" s="33"/>
      <c r="AG158" s="33"/>
      <c r="AH158" s="33"/>
      <c r="AI158" s="33" t="str">
        <f aca="false">TEXT($A$1+($D$1+24*$E$1)/24,"hh:mm")&amp;" - "&amp;TEXT($A$1+($D$1+30*$E$1)/24,"hh:mm")</f>
        <v>00:00 - 06:00</v>
      </c>
      <c r="AJ158" s="33"/>
      <c r="AK158" s="33"/>
      <c r="AL158" s="33"/>
      <c r="AM158" s="33"/>
      <c r="AN158" s="33"/>
      <c r="AO158" s="33" t="str">
        <f aca="false">TEXT($A$1+($D$1+30*$E$1)/24,"hh:mm")&amp;" - "&amp;TEXT($A$1+($D$1+36*$E$1)/24,"hh:mm")</f>
        <v>06:00 - 12:00</v>
      </c>
      <c r="AP158" s="33"/>
      <c r="AQ158" s="33"/>
      <c r="AR158" s="33"/>
      <c r="AS158" s="33"/>
      <c r="AT158" s="33"/>
      <c r="AU158" s="33" t="str">
        <f aca="false">TEXT($A$1+($D$1+36*$E$1)/24,"hh:mm")&amp;" - "&amp;TEXT($A$1+($D$1+42*$E$1)/24,"hh:mm")</f>
        <v>12:00 - 18:00</v>
      </c>
      <c r="AV158" s="33"/>
      <c r="AW158" s="33"/>
      <c r="AX158" s="33"/>
      <c r="AY158" s="33"/>
      <c r="AZ158" s="33"/>
      <c r="BA158" s="33" t="str">
        <f aca="false">TEXT($A$1+($D$1+42*$E$1)/24,"hh:mm")&amp;" - "&amp;TEXT($A$1+($D$1+48*$E$1)/24,"hh:mm")</f>
        <v>18:00 - 00:00</v>
      </c>
      <c r="BB158" s="33"/>
      <c r="BC158" s="33"/>
      <c r="BD158" s="33"/>
      <c r="BE158" s="33"/>
      <c r="BF158" s="33"/>
    </row>
    <row r="159" customFormat="false" ht="11.25" hidden="false" customHeight="true" outlineLevel="0" collapsed="false">
      <c r="A159" s="34" t="n">
        <f aca="false">'Data Input'!A87</f>
        <v>1</v>
      </c>
      <c r="B159" s="35" t="str">
        <f aca="false">'Data Input'!B87</f>
        <v>OTMP moves from station 29 to main Line 1</v>
      </c>
      <c r="C159" s="36" t="str">
        <f aca="false">'Data Input'!O87</f>
        <v>NOT STARTED - LATE</v>
      </c>
      <c r="D159" s="37" t="n">
        <f aca="false">'Data Input'!D87</f>
        <v>46311.0416666667</v>
      </c>
      <c r="E159" s="38" t="n">
        <f aca="false">'Data Input'!D87+'Data Input'!Y87/24</f>
        <v>46311.7916666667</v>
      </c>
      <c r="F159" s="39" t="n">
        <f aca="false">'Data Input'!Y87</f>
        <v>18</v>
      </c>
      <c r="G159" s="40" t="n">
        <f aca="false">'Data Input'!T87</f>
        <v>1</v>
      </c>
      <c r="H159" s="41" t="n">
        <f aca="false">'Data Input'!S87</f>
        <v>0</v>
      </c>
      <c r="I159" s="21"/>
      <c r="J159" s="42" t="s">
        <v>27</v>
      </c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H159" s="4" t="n">
        <f aca="false">('Data Input'!C87-$A$1)*24</f>
        <v>0</v>
      </c>
      <c r="BI159" s="4" t="n">
        <f aca="false">('Data Input'!D87-$A$1)*24</f>
        <v>1</v>
      </c>
      <c r="BJ159" s="0" t="n">
        <v>1</v>
      </c>
      <c r="BO159" s="0" t="n">
        <v>-999</v>
      </c>
      <c r="BP159" s="0" t="n">
        <v>-999</v>
      </c>
    </row>
    <row r="160" customFormat="false" ht="11.25" hidden="false" customHeight="true" outlineLevel="0" collapsed="false">
      <c r="A160" s="34"/>
      <c r="B160" s="34"/>
      <c r="C160" s="36"/>
      <c r="D160" s="37"/>
      <c r="E160" s="37"/>
      <c r="F160" s="39"/>
      <c r="G160" s="40"/>
      <c r="H160" s="40"/>
      <c r="I160" s="40"/>
      <c r="J160" s="42" t="s">
        <v>28</v>
      </c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H160" s="4" t="n">
        <f aca="false">IF($BK160="",-999,($BK160-$A$1)*24)</f>
        <v>-999</v>
      </c>
      <c r="BI160" s="4" t="n">
        <f aca="false">IF($BK160="",-999,(IF($BL160&lt;&gt;"",$BL160,IF($C$1&gt;$BK160,$C$1,$BK160+MAX('Data Input'!E87*$BM160,0.5)/24))-$A$1)*24)</f>
        <v>-999</v>
      </c>
      <c r="BJ160" s="4" t="n">
        <f aca="false">IF($BK160="",0,IF($BM160&gt;=1,IF($BN160&lt;=0,2,3),IF($BN160&lt;=0,4,5)))</f>
        <v>0</v>
      </c>
      <c r="BK160" s="0" t="str">
        <f aca="false">IF('Data Input'!Q87="","",'Data Input'!Q87)</f>
        <v/>
      </c>
      <c r="BL160" s="0" t="str">
        <f aca="false">IF('Data Input'!R87="","",'Data Input'!R87)</f>
        <v/>
      </c>
      <c r="BM160" s="4" t="n">
        <f aca="false">'Data Input'!S87</f>
        <v>0</v>
      </c>
      <c r="BN160" s="4" t="n">
        <f aca="false">'Data Input'!Y87</f>
        <v>18</v>
      </c>
      <c r="BO160" s="4" t="n">
        <f aca="false">IF($BM160&gt;=1,-999,MAX(($C$1-$A$1)*24,IF($BK160&lt;&gt;"",$BI160,$BP160-'Data Input'!E87)))</f>
        <v>18</v>
      </c>
      <c r="BP160" s="4" t="n">
        <f aca="false">('Data Input'!D87+'Data Input'!Y87/24-$A$1)*24</f>
        <v>19</v>
      </c>
    </row>
    <row r="161" customFormat="false" ht="11.25" hidden="false" customHeight="true" outlineLevel="0" collapsed="false">
      <c r="A161" s="34" t="n">
        <f aca="false">'Data Input'!A88</f>
        <v>2</v>
      </c>
      <c r="B161" s="35" t="str">
        <f aca="false">'Data Input'!B88</f>
        <v>Track removal &amp; panel evacuation (Line 1)</v>
      </c>
      <c r="C161" s="36" t="str">
        <f aca="false">'Data Input'!O88</f>
        <v>NOT STARTED - LATE</v>
      </c>
      <c r="D161" s="37" t="n">
        <f aca="false">'Data Input'!D88</f>
        <v>46311.0833333333</v>
      </c>
      <c r="E161" s="38" t="n">
        <f aca="false">'Data Input'!D88+'Data Input'!Y88/24</f>
        <v>46311.8333333333</v>
      </c>
      <c r="F161" s="39" t="n">
        <f aca="false">'Data Input'!Y88</f>
        <v>18</v>
      </c>
      <c r="G161" s="40" t="n">
        <f aca="false">'Data Input'!T88</f>
        <v>1</v>
      </c>
      <c r="H161" s="41" t="n">
        <f aca="false">'Data Input'!S88</f>
        <v>0</v>
      </c>
      <c r="I161" s="21"/>
      <c r="J161" s="42" t="s">
        <v>27</v>
      </c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H161" s="4" t="n">
        <f aca="false">('Data Input'!C88-$A$1)*24</f>
        <v>1</v>
      </c>
      <c r="BI161" s="4" t="n">
        <f aca="false">('Data Input'!D88-$A$1)*24</f>
        <v>2</v>
      </c>
      <c r="BJ161" s="0" t="n">
        <v>1</v>
      </c>
      <c r="BO161" s="0" t="n">
        <v>-999</v>
      </c>
      <c r="BP161" s="0" t="n">
        <v>-999</v>
      </c>
    </row>
    <row r="162" customFormat="false" ht="11.25" hidden="false" customHeight="true" outlineLevel="0" collapsed="false">
      <c r="A162" s="34"/>
      <c r="B162" s="34"/>
      <c r="C162" s="36"/>
      <c r="D162" s="37"/>
      <c r="E162" s="37"/>
      <c r="F162" s="39"/>
      <c r="G162" s="40"/>
      <c r="H162" s="40"/>
      <c r="I162" s="40"/>
      <c r="J162" s="42" t="s">
        <v>28</v>
      </c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H162" s="4" t="n">
        <f aca="false">IF($BK162="",-999,($BK162-$A$1)*24)</f>
        <v>-999</v>
      </c>
      <c r="BI162" s="4" t="n">
        <f aca="false">IF($BK162="",-999,(IF($BL162&lt;&gt;"",$BL162,IF($C$1&gt;$BK162,$C$1,$BK162+MAX('Data Input'!E88*$BM162,0.5)/24))-$A$1)*24)</f>
        <v>-999</v>
      </c>
      <c r="BJ162" s="4" t="n">
        <f aca="false">IF($BK162="",0,IF($BM162&gt;=1,IF($BN162&lt;=0,2,3),IF($BN162&lt;=0,4,5)))</f>
        <v>0</v>
      </c>
      <c r="BK162" s="0" t="str">
        <f aca="false">IF('Data Input'!Q88="","",'Data Input'!Q88)</f>
        <v/>
      </c>
      <c r="BL162" s="0" t="str">
        <f aca="false">IF('Data Input'!R88="","",'Data Input'!R88)</f>
        <v/>
      </c>
      <c r="BM162" s="4" t="n">
        <f aca="false">'Data Input'!S88</f>
        <v>0</v>
      </c>
      <c r="BN162" s="4" t="n">
        <f aca="false">'Data Input'!Y88</f>
        <v>18</v>
      </c>
      <c r="BO162" s="4" t="n">
        <f aca="false">IF($BM162&gt;=1,-999,MAX(($C$1-$A$1)*24,IF($BK162&lt;&gt;"",$BI162,$BP162-'Data Input'!E88)))</f>
        <v>19</v>
      </c>
      <c r="BP162" s="4" t="n">
        <f aca="false">('Data Input'!D88+'Data Input'!Y88/24-$A$1)*24</f>
        <v>20</v>
      </c>
    </row>
    <row r="163" customFormat="false" ht="11.25" hidden="false" customHeight="true" outlineLevel="0" collapsed="false">
      <c r="A163" s="34" t="n">
        <f aca="false">'Data Input'!A89</f>
        <v>3</v>
      </c>
      <c r="B163" s="35" t="str">
        <f aca="false">'Data Input'!B89</f>
        <v>Track removal &amp; panel evacuation (Line 3)</v>
      </c>
      <c r="C163" s="36" t="str">
        <f aca="false">'Data Input'!O89</f>
        <v>NOT STARTED - LATE</v>
      </c>
      <c r="D163" s="37" t="n">
        <f aca="false">'Data Input'!D89</f>
        <v>46311.0416666667</v>
      </c>
      <c r="E163" s="38" t="n">
        <f aca="false">'Data Input'!D89+'Data Input'!Y89/24</f>
        <v>46311.7916666667</v>
      </c>
      <c r="F163" s="39" t="n">
        <f aca="false">'Data Input'!Y89</f>
        <v>18</v>
      </c>
      <c r="G163" s="40" t="n">
        <f aca="false">'Data Input'!T89</f>
        <v>1</v>
      </c>
      <c r="H163" s="41" t="n">
        <f aca="false">'Data Input'!S89</f>
        <v>0</v>
      </c>
      <c r="I163" s="21"/>
      <c r="J163" s="42" t="s">
        <v>27</v>
      </c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H163" s="4" t="n">
        <f aca="false">('Data Input'!C89-$A$1)*24</f>
        <v>0</v>
      </c>
      <c r="BI163" s="4" t="n">
        <f aca="false">('Data Input'!D89-$A$1)*24</f>
        <v>1</v>
      </c>
      <c r="BJ163" s="0" t="n">
        <v>1</v>
      </c>
      <c r="BO163" s="0" t="n">
        <v>-999</v>
      </c>
      <c r="BP163" s="0" t="n">
        <v>-999</v>
      </c>
    </row>
    <row r="164" customFormat="false" ht="11.25" hidden="false" customHeight="true" outlineLevel="0" collapsed="false">
      <c r="A164" s="34"/>
      <c r="B164" s="34"/>
      <c r="C164" s="36"/>
      <c r="D164" s="37"/>
      <c r="E164" s="37"/>
      <c r="F164" s="39"/>
      <c r="G164" s="40"/>
      <c r="H164" s="40"/>
      <c r="I164" s="40"/>
      <c r="J164" s="42" t="s">
        <v>28</v>
      </c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H164" s="4" t="n">
        <f aca="false">IF($BK164="",-999,($BK164-$A$1)*24)</f>
        <v>-999</v>
      </c>
      <c r="BI164" s="4" t="n">
        <f aca="false">IF($BK164="",-999,(IF($BL164&lt;&gt;"",$BL164,IF($C$1&gt;$BK164,$C$1,$BK164+MAX('Data Input'!E89*$BM164,0.5)/24))-$A$1)*24)</f>
        <v>-999</v>
      </c>
      <c r="BJ164" s="4" t="n">
        <f aca="false">IF($BK164="",0,IF($BM164&gt;=1,IF($BN164&lt;=0,2,3),IF($BN164&lt;=0,4,5)))</f>
        <v>0</v>
      </c>
      <c r="BK164" s="0" t="str">
        <f aca="false">IF('Data Input'!Q89="","",'Data Input'!Q89)</f>
        <v/>
      </c>
      <c r="BL164" s="0" t="str">
        <f aca="false">IF('Data Input'!R89="","",'Data Input'!R89)</f>
        <v/>
      </c>
      <c r="BM164" s="4" t="n">
        <f aca="false">'Data Input'!S89</f>
        <v>0</v>
      </c>
      <c r="BN164" s="4" t="n">
        <f aca="false">'Data Input'!Y89</f>
        <v>18</v>
      </c>
      <c r="BO164" s="4" t="n">
        <f aca="false">IF($BM164&gt;=1,-999,MAX(($C$1-$A$1)*24,IF($BK164&lt;&gt;"",$BI164,$BP164-'Data Input'!E89)))</f>
        <v>18</v>
      </c>
      <c r="BP164" s="4" t="n">
        <f aca="false">('Data Input'!D89+'Data Input'!Y89/24-$A$1)*24</f>
        <v>19</v>
      </c>
    </row>
    <row r="165" customFormat="false" ht="11.25" hidden="false" customHeight="true" outlineLevel="0" collapsed="false">
      <c r="A165" s="34" t="n">
        <f aca="false">'Data Input'!A90</f>
        <v>4</v>
      </c>
      <c r="B165" s="35" t="str">
        <f aca="false">'Data Input'!B90</f>
        <v>Ballast removal</v>
      </c>
      <c r="C165" s="36" t="str">
        <f aca="false">'Data Input'!O90</f>
        <v>NOT STARTED - LATE</v>
      </c>
      <c r="D165" s="37" t="n">
        <f aca="false">'Data Input'!D90</f>
        <v>46311.0833333333</v>
      </c>
      <c r="E165" s="38" t="n">
        <f aca="false">'Data Input'!D90+'Data Input'!Y90/24</f>
        <v>46311.8333333333</v>
      </c>
      <c r="F165" s="39" t="n">
        <f aca="false">'Data Input'!Y90</f>
        <v>18</v>
      </c>
      <c r="G165" s="40" t="n">
        <f aca="false">'Data Input'!T90</f>
        <v>1</v>
      </c>
      <c r="H165" s="41" t="n">
        <f aca="false">'Data Input'!S90</f>
        <v>0</v>
      </c>
      <c r="I165" s="21"/>
      <c r="J165" s="42" t="s">
        <v>27</v>
      </c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H165" s="4" t="n">
        <f aca="false">('Data Input'!C90-$A$1)*24</f>
        <v>1</v>
      </c>
      <c r="BI165" s="4" t="n">
        <f aca="false">('Data Input'!D90-$A$1)*24</f>
        <v>2</v>
      </c>
      <c r="BJ165" s="0" t="n">
        <v>1</v>
      </c>
      <c r="BO165" s="0" t="n">
        <v>-999</v>
      </c>
      <c r="BP165" s="0" t="n">
        <v>-999</v>
      </c>
    </row>
    <row r="166" customFormat="false" ht="11.25" hidden="false" customHeight="true" outlineLevel="0" collapsed="false">
      <c r="A166" s="34"/>
      <c r="B166" s="34"/>
      <c r="C166" s="36"/>
      <c r="D166" s="37"/>
      <c r="E166" s="37"/>
      <c r="F166" s="39"/>
      <c r="G166" s="40"/>
      <c r="H166" s="40"/>
      <c r="I166" s="40"/>
      <c r="J166" s="42" t="s">
        <v>28</v>
      </c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H166" s="4" t="n">
        <f aca="false">IF($BK166="",-999,($BK166-$A$1)*24)</f>
        <v>-999</v>
      </c>
      <c r="BI166" s="4" t="n">
        <f aca="false">IF($BK166="",-999,(IF($BL166&lt;&gt;"",$BL166,IF($C$1&gt;$BK166,$C$1,$BK166+MAX('Data Input'!E90*$BM166,0.5)/24))-$A$1)*24)</f>
        <v>-999</v>
      </c>
      <c r="BJ166" s="4" t="n">
        <f aca="false">IF($BK166="",0,IF($BM166&gt;=1,IF($BN166&lt;=0,2,3),IF($BN166&lt;=0,4,5)))</f>
        <v>0</v>
      </c>
      <c r="BK166" s="0" t="str">
        <f aca="false">IF('Data Input'!Q90="","",'Data Input'!Q90)</f>
        <v/>
      </c>
      <c r="BL166" s="0" t="str">
        <f aca="false">IF('Data Input'!R90="","",'Data Input'!R90)</f>
        <v/>
      </c>
      <c r="BM166" s="4" t="n">
        <f aca="false">'Data Input'!S90</f>
        <v>0</v>
      </c>
      <c r="BN166" s="4" t="n">
        <f aca="false">'Data Input'!Y90</f>
        <v>18</v>
      </c>
      <c r="BO166" s="4" t="n">
        <f aca="false">IF($BM166&gt;=1,-999,MAX(($C$1-$A$1)*24,IF($BK166&lt;&gt;"",$BI166,$BP166-'Data Input'!E90)))</f>
        <v>19</v>
      </c>
      <c r="BP166" s="4" t="n">
        <f aca="false">('Data Input'!D90+'Data Input'!Y90/24-$A$1)*24</f>
        <v>20</v>
      </c>
    </row>
    <row r="167" customFormat="false" ht="11.25" hidden="false" customHeight="true" outlineLevel="0" collapsed="false">
      <c r="A167" s="34" t="n">
        <f aca="false">'Data Input'!A91</f>
        <v>5</v>
      </c>
      <c r="B167" s="35" t="str">
        <f aca="false">'Data Input'!B91</f>
        <v>Cutting &amp; removal around existing culvert</v>
      </c>
      <c r="C167" s="36" t="str">
        <f aca="false">'Data Input'!O91</f>
        <v>NOT STARTED - LATE</v>
      </c>
      <c r="D167" s="37" t="n">
        <f aca="false">'Data Input'!D91</f>
        <v>46311.125</v>
      </c>
      <c r="E167" s="38" t="n">
        <f aca="false">'Data Input'!D91+'Data Input'!Y91/24</f>
        <v>46311.875</v>
      </c>
      <c r="F167" s="39" t="n">
        <f aca="false">'Data Input'!Y91</f>
        <v>18</v>
      </c>
      <c r="G167" s="40" t="n">
        <f aca="false">'Data Input'!T91</f>
        <v>1</v>
      </c>
      <c r="H167" s="41" t="n">
        <f aca="false">'Data Input'!S91</f>
        <v>0</v>
      </c>
      <c r="I167" s="21"/>
      <c r="J167" s="42" t="s">
        <v>27</v>
      </c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H167" s="4" t="n">
        <f aca="false">('Data Input'!C91-$A$1)*24</f>
        <v>2</v>
      </c>
      <c r="BI167" s="4" t="n">
        <f aca="false">('Data Input'!D91-$A$1)*24</f>
        <v>3</v>
      </c>
      <c r="BJ167" s="0" t="n">
        <v>1</v>
      </c>
      <c r="BO167" s="0" t="n">
        <v>-999</v>
      </c>
      <c r="BP167" s="0" t="n">
        <v>-999</v>
      </c>
    </row>
    <row r="168" customFormat="false" ht="11.25" hidden="false" customHeight="true" outlineLevel="0" collapsed="false">
      <c r="A168" s="34"/>
      <c r="B168" s="34"/>
      <c r="C168" s="36"/>
      <c r="D168" s="37"/>
      <c r="E168" s="37"/>
      <c r="F168" s="39"/>
      <c r="G168" s="40"/>
      <c r="H168" s="40"/>
      <c r="I168" s="40"/>
      <c r="J168" s="42" t="s">
        <v>28</v>
      </c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H168" s="4" t="n">
        <f aca="false">IF($BK168="",-999,($BK168-$A$1)*24)</f>
        <v>-999</v>
      </c>
      <c r="BI168" s="4" t="n">
        <f aca="false">IF($BK168="",-999,(IF($BL168&lt;&gt;"",$BL168,IF($C$1&gt;$BK168,$C$1,$BK168+MAX('Data Input'!E91*$BM168,0.5)/24))-$A$1)*24)</f>
        <v>-999</v>
      </c>
      <c r="BJ168" s="4" t="n">
        <f aca="false">IF($BK168="",0,IF($BM168&gt;=1,IF($BN168&lt;=0,2,3),IF($BN168&lt;=0,4,5)))</f>
        <v>0</v>
      </c>
      <c r="BK168" s="0" t="str">
        <f aca="false">IF('Data Input'!Q91="","",'Data Input'!Q91)</f>
        <v/>
      </c>
      <c r="BL168" s="0" t="str">
        <f aca="false">IF('Data Input'!R91="","",'Data Input'!R91)</f>
        <v/>
      </c>
      <c r="BM168" s="4" t="n">
        <f aca="false">'Data Input'!S91</f>
        <v>0</v>
      </c>
      <c r="BN168" s="4" t="n">
        <f aca="false">'Data Input'!Y91</f>
        <v>18</v>
      </c>
      <c r="BO168" s="4" t="n">
        <f aca="false">IF($BM168&gt;=1,-999,MAX(($C$1-$A$1)*24,IF($BK168&lt;&gt;"",$BI168,$BP168-'Data Input'!E91)))</f>
        <v>20</v>
      </c>
      <c r="BP168" s="4" t="n">
        <f aca="false">('Data Input'!D91+'Data Input'!Y91/24-$A$1)*24</f>
        <v>21</v>
      </c>
    </row>
    <row r="169" customFormat="false" ht="11.25" hidden="false" customHeight="true" outlineLevel="0" collapsed="false">
      <c r="A169" s="34" t="n">
        <f aca="false">'Data Input'!A92</f>
        <v>6</v>
      </c>
      <c r="B169" s="35" t="str">
        <f aca="false">'Data Input'!B92</f>
        <v>Demolition of existing culvert</v>
      </c>
      <c r="C169" s="36" t="str">
        <f aca="false">'Data Input'!O92</f>
        <v>NOT STARTED - LATE</v>
      </c>
      <c r="D169" s="37" t="n">
        <f aca="false">'Data Input'!D92</f>
        <v>46311.2083333333</v>
      </c>
      <c r="E169" s="38" t="n">
        <f aca="false">'Data Input'!D92+'Data Input'!Y92/24</f>
        <v>46311.9583333333</v>
      </c>
      <c r="F169" s="39" t="n">
        <f aca="false">'Data Input'!Y92</f>
        <v>18</v>
      </c>
      <c r="G169" s="40" t="n">
        <f aca="false">'Data Input'!T92</f>
        <v>1</v>
      </c>
      <c r="H169" s="41" t="n">
        <f aca="false">'Data Input'!S92</f>
        <v>0</v>
      </c>
      <c r="I169" s="21"/>
      <c r="J169" s="42" t="s">
        <v>27</v>
      </c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H169" s="4" t="n">
        <f aca="false">('Data Input'!C92-$A$1)*24</f>
        <v>3</v>
      </c>
      <c r="BI169" s="4" t="n">
        <f aca="false">('Data Input'!D92-$A$1)*24</f>
        <v>5</v>
      </c>
      <c r="BJ169" s="0" t="n">
        <v>1</v>
      </c>
      <c r="BO169" s="0" t="n">
        <v>-999</v>
      </c>
      <c r="BP169" s="0" t="n">
        <v>-999</v>
      </c>
    </row>
    <row r="170" customFormat="false" ht="11.25" hidden="false" customHeight="true" outlineLevel="0" collapsed="false">
      <c r="A170" s="34"/>
      <c r="B170" s="34"/>
      <c r="C170" s="36"/>
      <c r="D170" s="37"/>
      <c r="E170" s="37"/>
      <c r="F170" s="39"/>
      <c r="G170" s="40"/>
      <c r="H170" s="40"/>
      <c r="I170" s="40"/>
      <c r="J170" s="42" t="s">
        <v>28</v>
      </c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H170" s="4" t="n">
        <f aca="false">IF($BK170="",-999,($BK170-$A$1)*24)</f>
        <v>-999</v>
      </c>
      <c r="BI170" s="4" t="n">
        <f aca="false">IF($BK170="",-999,(IF($BL170&lt;&gt;"",$BL170,IF($C$1&gt;$BK170,$C$1,$BK170+MAX('Data Input'!E92*$BM170,0.5)/24))-$A$1)*24)</f>
        <v>-999</v>
      </c>
      <c r="BJ170" s="4" t="n">
        <f aca="false">IF($BK170="",0,IF($BM170&gt;=1,IF($BN170&lt;=0,2,3),IF($BN170&lt;=0,4,5)))</f>
        <v>0</v>
      </c>
      <c r="BK170" s="0" t="str">
        <f aca="false">IF('Data Input'!Q92="","",'Data Input'!Q92)</f>
        <v/>
      </c>
      <c r="BL170" s="0" t="str">
        <f aca="false">IF('Data Input'!R92="","",'Data Input'!R92)</f>
        <v/>
      </c>
      <c r="BM170" s="4" t="n">
        <f aca="false">'Data Input'!S92</f>
        <v>0</v>
      </c>
      <c r="BN170" s="4" t="n">
        <f aca="false">'Data Input'!Y92</f>
        <v>18</v>
      </c>
      <c r="BO170" s="4" t="n">
        <f aca="false">IF($BM170&gt;=1,-999,MAX(($C$1-$A$1)*24,IF($BK170&lt;&gt;"",$BI170,$BP170-'Data Input'!E92)))</f>
        <v>21</v>
      </c>
      <c r="BP170" s="4" t="n">
        <f aca="false">('Data Input'!D92+'Data Input'!Y92/24-$A$1)*24</f>
        <v>23</v>
      </c>
    </row>
    <row r="171" customFormat="false" ht="11.25" hidden="false" customHeight="true" outlineLevel="0" collapsed="false">
      <c r="A171" s="34" t="n">
        <f aca="false">'Data Input'!A93</f>
        <v>7</v>
      </c>
      <c r="B171" s="35" t="str">
        <f aca="false">'Data Input'!B93</f>
        <v>Surface preparation for precast installation</v>
      </c>
      <c r="C171" s="36" t="str">
        <f aca="false">'Data Input'!O93</f>
        <v>NOT STARTED - LATE</v>
      </c>
      <c r="D171" s="37" t="n">
        <f aca="false">'Data Input'!D93</f>
        <v>46311.2916666667</v>
      </c>
      <c r="E171" s="38" t="n">
        <f aca="false">'Data Input'!D93+'Data Input'!Y93/24</f>
        <v>46312.0416666667</v>
      </c>
      <c r="F171" s="39" t="n">
        <f aca="false">'Data Input'!Y93</f>
        <v>18</v>
      </c>
      <c r="G171" s="40" t="n">
        <f aca="false">'Data Input'!T93</f>
        <v>1</v>
      </c>
      <c r="H171" s="41" t="n">
        <f aca="false">'Data Input'!S93</f>
        <v>0</v>
      </c>
      <c r="I171" s="21"/>
      <c r="J171" s="42" t="s">
        <v>27</v>
      </c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H171" s="4" t="n">
        <f aca="false">('Data Input'!C93-$A$1)*24</f>
        <v>5</v>
      </c>
      <c r="BI171" s="4" t="n">
        <f aca="false">('Data Input'!D93-$A$1)*24</f>
        <v>7</v>
      </c>
      <c r="BJ171" s="0" t="n">
        <v>1</v>
      </c>
      <c r="BO171" s="0" t="n">
        <v>-999</v>
      </c>
      <c r="BP171" s="0" t="n">
        <v>-999</v>
      </c>
    </row>
    <row r="172" customFormat="false" ht="11.25" hidden="false" customHeight="true" outlineLevel="0" collapsed="false">
      <c r="A172" s="34"/>
      <c r="B172" s="34"/>
      <c r="C172" s="36"/>
      <c r="D172" s="37"/>
      <c r="E172" s="37"/>
      <c r="F172" s="39"/>
      <c r="G172" s="40"/>
      <c r="H172" s="40"/>
      <c r="I172" s="40"/>
      <c r="J172" s="42" t="s">
        <v>28</v>
      </c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H172" s="4" t="n">
        <f aca="false">IF($BK172="",-999,($BK172-$A$1)*24)</f>
        <v>-999</v>
      </c>
      <c r="BI172" s="4" t="n">
        <f aca="false">IF($BK172="",-999,(IF($BL172&lt;&gt;"",$BL172,IF($C$1&gt;$BK172,$C$1,$BK172+MAX('Data Input'!E93*$BM172,0.5)/24))-$A$1)*24)</f>
        <v>-999</v>
      </c>
      <c r="BJ172" s="4" t="n">
        <f aca="false">IF($BK172="",0,IF($BM172&gt;=1,IF($BN172&lt;=0,2,3),IF($BN172&lt;=0,4,5)))</f>
        <v>0</v>
      </c>
      <c r="BK172" s="0" t="str">
        <f aca="false">IF('Data Input'!Q93="","",'Data Input'!Q93)</f>
        <v/>
      </c>
      <c r="BL172" s="0" t="str">
        <f aca="false">IF('Data Input'!R93="","",'Data Input'!R93)</f>
        <v/>
      </c>
      <c r="BM172" s="4" t="n">
        <f aca="false">'Data Input'!S93</f>
        <v>0</v>
      </c>
      <c r="BN172" s="4" t="n">
        <f aca="false">'Data Input'!Y93</f>
        <v>18</v>
      </c>
      <c r="BO172" s="4" t="n">
        <f aca="false">IF($BM172&gt;=1,-999,MAX(($C$1-$A$1)*24,IF($BK172&lt;&gt;"",$BI172,$BP172-'Data Input'!E93)))</f>
        <v>23</v>
      </c>
      <c r="BP172" s="4" t="n">
        <f aca="false">('Data Input'!D93+'Data Input'!Y93/24-$A$1)*24</f>
        <v>25</v>
      </c>
    </row>
    <row r="173" customFormat="false" ht="11.25" hidden="false" customHeight="true" outlineLevel="0" collapsed="false">
      <c r="A173" s="34" t="n">
        <f aca="false">'Data Input'!A94</f>
        <v>8</v>
      </c>
      <c r="B173" s="35" t="str">
        <f aca="false">'Data Input'!B94</f>
        <v>Installation of new precast culvert</v>
      </c>
      <c r="C173" s="36" t="str">
        <f aca="false">'Data Input'!O94</f>
        <v>NOT STARTED - LATE</v>
      </c>
      <c r="D173" s="37" t="n">
        <f aca="false">'Data Input'!D94</f>
        <v>46311.4166666667</v>
      </c>
      <c r="E173" s="38" t="n">
        <f aca="false">'Data Input'!D94+'Data Input'!Y94/24</f>
        <v>46312.1666666667</v>
      </c>
      <c r="F173" s="39" t="n">
        <f aca="false">'Data Input'!Y94</f>
        <v>18</v>
      </c>
      <c r="G173" s="40" t="n">
        <f aca="false">'Data Input'!T94</f>
        <v>1</v>
      </c>
      <c r="H173" s="41" t="n">
        <f aca="false">'Data Input'!S94</f>
        <v>0</v>
      </c>
      <c r="I173" s="21"/>
      <c r="J173" s="42" t="s">
        <v>27</v>
      </c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H173" s="4" t="n">
        <f aca="false">('Data Input'!C94-$A$1)*24</f>
        <v>7</v>
      </c>
      <c r="BI173" s="4" t="n">
        <f aca="false">('Data Input'!D94-$A$1)*24</f>
        <v>10</v>
      </c>
      <c r="BJ173" s="0" t="n">
        <v>1</v>
      </c>
      <c r="BO173" s="0" t="n">
        <v>-999</v>
      </c>
      <c r="BP173" s="0" t="n">
        <v>-999</v>
      </c>
    </row>
    <row r="174" customFormat="false" ht="11.25" hidden="false" customHeight="true" outlineLevel="0" collapsed="false">
      <c r="A174" s="34"/>
      <c r="B174" s="34"/>
      <c r="C174" s="36"/>
      <c r="D174" s="37"/>
      <c r="E174" s="37"/>
      <c r="F174" s="39"/>
      <c r="G174" s="40"/>
      <c r="H174" s="40"/>
      <c r="I174" s="40"/>
      <c r="J174" s="42" t="s">
        <v>28</v>
      </c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H174" s="4" t="n">
        <f aca="false">IF($BK174="",-999,($BK174-$A$1)*24)</f>
        <v>-999</v>
      </c>
      <c r="BI174" s="4" t="n">
        <f aca="false">IF($BK174="",-999,(IF($BL174&lt;&gt;"",$BL174,IF($C$1&gt;$BK174,$C$1,$BK174+MAX('Data Input'!E94*$BM174,0.5)/24))-$A$1)*24)</f>
        <v>-999</v>
      </c>
      <c r="BJ174" s="4" t="n">
        <f aca="false">IF($BK174="",0,IF($BM174&gt;=1,IF($BN174&lt;=0,2,3),IF($BN174&lt;=0,4,5)))</f>
        <v>0</v>
      </c>
      <c r="BK174" s="0" t="str">
        <f aca="false">IF('Data Input'!Q94="","",'Data Input'!Q94)</f>
        <v/>
      </c>
      <c r="BL174" s="0" t="str">
        <f aca="false">IF('Data Input'!R94="","",'Data Input'!R94)</f>
        <v/>
      </c>
      <c r="BM174" s="4" t="n">
        <f aca="false">'Data Input'!S94</f>
        <v>0</v>
      </c>
      <c r="BN174" s="4" t="n">
        <f aca="false">'Data Input'!Y94</f>
        <v>18</v>
      </c>
      <c r="BO174" s="4" t="n">
        <f aca="false">IF($BM174&gt;=1,-999,MAX(($C$1-$A$1)*24,IF($BK174&lt;&gt;"",$BI174,$BP174-'Data Input'!E94)))</f>
        <v>25</v>
      </c>
      <c r="BP174" s="4" t="n">
        <f aca="false">('Data Input'!D94+'Data Input'!Y94/24-$A$1)*24</f>
        <v>28</v>
      </c>
    </row>
    <row r="175" customFormat="false" ht="11.25" hidden="false" customHeight="true" outlineLevel="0" collapsed="false">
      <c r="A175" s="34" t="n">
        <f aca="false">'Data Input'!A95</f>
        <v>9</v>
      </c>
      <c r="B175" s="35" t="str">
        <f aca="false">'Data Input'!B95</f>
        <v>Apply sealant to the culvert</v>
      </c>
      <c r="C175" s="36" t="str">
        <f aca="false">'Data Input'!O95</f>
        <v>NOT STARTED - LATE</v>
      </c>
      <c r="D175" s="37" t="n">
        <f aca="false">'Data Input'!D95</f>
        <v>46311.4583333333</v>
      </c>
      <c r="E175" s="38" t="n">
        <f aca="false">'Data Input'!D95+'Data Input'!Y95/24</f>
        <v>46312.2083333333</v>
      </c>
      <c r="F175" s="39" t="n">
        <f aca="false">'Data Input'!Y95</f>
        <v>18</v>
      </c>
      <c r="G175" s="40" t="n">
        <f aca="false">'Data Input'!T95</f>
        <v>1</v>
      </c>
      <c r="H175" s="41" t="n">
        <f aca="false">'Data Input'!S95</f>
        <v>0</v>
      </c>
      <c r="I175" s="21"/>
      <c r="J175" s="42" t="s">
        <v>27</v>
      </c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H175" s="4" t="n">
        <f aca="false">('Data Input'!C95-$A$1)*24</f>
        <v>10</v>
      </c>
      <c r="BI175" s="4" t="n">
        <f aca="false">('Data Input'!D95-$A$1)*24</f>
        <v>11</v>
      </c>
      <c r="BJ175" s="0" t="n">
        <v>1</v>
      </c>
      <c r="BO175" s="0" t="n">
        <v>-999</v>
      </c>
      <c r="BP175" s="0" t="n">
        <v>-999</v>
      </c>
    </row>
    <row r="176" customFormat="false" ht="11.25" hidden="false" customHeight="true" outlineLevel="0" collapsed="false">
      <c r="A176" s="34"/>
      <c r="B176" s="34"/>
      <c r="C176" s="36"/>
      <c r="D176" s="37"/>
      <c r="E176" s="37"/>
      <c r="F176" s="39"/>
      <c r="G176" s="40"/>
      <c r="H176" s="40"/>
      <c r="I176" s="40"/>
      <c r="J176" s="42" t="s">
        <v>28</v>
      </c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H176" s="4" t="n">
        <f aca="false">IF($BK176="",-999,($BK176-$A$1)*24)</f>
        <v>-999</v>
      </c>
      <c r="BI176" s="4" t="n">
        <f aca="false">IF($BK176="",-999,(IF($BL176&lt;&gt;"",$BL176,IF($C$1&gt;$BK176,$C$1,$BK176+MAX('Data Input'!E95*$BM176,0.5)/24))-$A$1)*24)</f>
        <v>-999</v>
      </c>
      <c r="BJ176" s="4" t="n">
        <f aca="false">IF($BK176="",0,IF($BM176&gt;=1,IF($BN176&lt;=0,2,3),IF($BN176&lt;=0,4,5)))</f>
        <v>0</v>
      </c>
      <c r="BK176" s="0" t="str">
        <f aca="false">IF('Data Input'!Q95="","",'Data Input'!Q95)</f>
        <v/>
      </c>
      <c r="BL176" s="0" t="str">
        <f aca="false">IF('Data Input'!R95="","",'Data Input'!R95)</f>
        <v/>
      </c>
      <c r="BM176" s="4" t="n">
        <f aca="false">'Data Input'!S95</f>
        <v>0</v>
      </c>
      <c r="BN176" s="4" t="n">
        <f aca="false">'Data Input'!Y95</f>
        <v>18</v>
      </c>
      <c r="BO176" s="4" t="n">
        <f aca="false">IF($BM176&gt;=1,-999,MAX(($C$1-$A$1)*24,IF($BK176&lt;&gt;"",$BI176,$BP176-'Data Input'!E95)))</f>
        <v>28</v>
      </c>
      <c r="BP176" s="4" t="n">
        <f aca="false">('Data Input'!D95+'Data Input'!Y95/24-$A$1)*24</f>
        <v>29</v>
      </c>
    </row>
    <row r="177" customFormat="false" ht="11.25" hidden="false" customHeight="true" outlineLevel="0" collapsed="false">
      <c r="A177" s="34" t="n">
        <f aca="false">'Data Input'!A96</f>
        <v>10</v>
      </c>
      <c r="B177" s="35" t="str">
        <f aca="false">'Data Input'!B96</f>
        <v>Backfill around culvert to subgrade level</v>
      </c>
      <c r="C177" s="36" t="str">
        <f aca="false">'Data Input'!O96</f>
        <v>NOT STARTED - LATE</v>
      </c>
      <c r="D177" s="37" t="n">
        <f aca="false">'Data Input'!D96</f>
        <v>46311.5833333333</v>
      </c>
      <c r="E177" s="38" t="n">
        <f aca="false">'Data Input'!D96+'Data Input'!Y96/24</f>
        <v>46312.3333333333</v>
      </c>
      <c r="F177" s="39" t="n">
        <f aca="false">'Data Input'!Y96</f>
        <v>18</v>
      </c>
      <c r="G177" s="40" t="n">
        <f aca="false">'Data Input'!T96</f>
        <v>1</v>
      </c>
      <c r="H177" s="41" t="n">
        <f aca="false">'Data Input'!S96</f>
        <v>0</v>
      </c>
      <c r="I177" s="21"/>
      <c r="J177" s="42" t="s">
        <v>27</v>
      </c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H177" s="4" t="n">
        <f aca="false">('Data Input'!C96-$A$1)*24</f>
        <v>11</v>
      </c>
      <c r="BI177" s="4" t="n">
        <f aca="false">('Data Input'!D96-$A$1)*24</f>
        <v>14</v>
      </c>
      <c r="BJ177" s="0" t="n">
        <v>1</v>
      </c>
      <c r="BO177" s="0" t="n">
        <v>-999</v>
      </c>
      <c r="BP177" s="0" t="n">
        <v>-999</v>
      </c>
    </row>
    <row r="178" customFormat="false" ht="11.25" hidden="false" customHeight="true" outlineLevel="0" collapsed="false">
      <c r="A178" s="34"/>
      <c r="B178" s="34"/>
      <c r="C178" s="36"/>
      <c r="D178" s="37"/>
      <c r="E178" s="37"/>
      <c r="F178" s="39"/>
      <c r="G178" s="40"/>
      <c r="H178" s="40"/>
      <c r="I178" s="40"/>
      <c r="J178" s="42" t="s">
        <v>28</v>
      </c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H178" s="4" t="n">
        <f aca="false">IF($BK178="",-999,($BK178-$A$1)*24)</f>
        <v>-999</v>
      </c>
      <c r="BI178" s="4" t="n">
        <f aca="false">IF($BK178="",-999,(IF($BL178&lt;&gt;"",$BL178,IF($C$1&gt;$BK178,$C$1,$BK178+MAX('Data Input'!E96*$BM178,0.5)/24))-$A$1)*24)</f>
        <v>-999</v>
      </c>
      <c r="BJ178" s="4" t="n">
        <f aca="false">IF($BK178="",0,IF($BM178&gt;=1,IF($BN178&lt;=0,2,3),IF($BN178&lt;=0,4,5)))</f>
        <v>0</v>
      </c>
      <c r="BK178" s="0" t="str">
        <f aca="false">IF('Data Input'!Q96="","",'Data Input'!Q96)</f>
        <v/>
      </c>
      <c r="BL178" s="0" t="str">
        <f aca="false">IF('Data Input'!R96="","",'Data Input'!R96)</f>
        <v/>
      </c>
      <c r="BM178" s="4" t="n">
        <f aca="false">'Data Input'!S96</f>
        <v>0</v>
      </c>
      <c r="BN178" s="4" t="n">
        <f aca="false">'Data Input'!Y96</f>
        <v>18</v>
      </c>
      <c r="BO178" s="4" t="n">
        <f aca="false">IF($BM178&gt;=1,-999,MAX(($C$1-$A$1)*24,IF($BK178&lt;&gt;"",$BI178,$BP178-'Data Input'!E96)))</f>
        <v>29</v>
      </c>
      <c r="BP178" s="4" t="n">
        <f aca="false">('Data Input'!D96+'Data Input'!Y96/24-$A$1)*24</f>
        <v>32</v>
      </c>
    </row>
    <row r="179" customFormat="false" ht="11.25" hidden="false" customHeight="true" outlineLevel="0" collapsed="false">
      <c r="A179" s="34" t="n">
        <f aca="false">'Data Input'!A97</f>
        <v>11</v>
      </c>
      <c r="B179" s="35" t="str">
        <f aca="false">'Data Input'!B97</f>
        <v>Backfill Subgrade</v>
      </c>
      <c r="C179" s="36" t="str">
        <f aca="false">'Data Input'!O97</f>
        <v>NOT STARTED - LATE</v>
      </c>
      <c r="D179" s="37" t="n">
        <f aca="false">'Data Input'!D97</f>
        <v>46311.625</v>
      </c>
      <c r="E179" s="38" t="n">
        <f aca="false">'Data Input'!D97+'Data Input'!Y97/24</f>
        <v>46312.375</v>
      </c>
      <c r="F179" s="39" t="n">
        <f aca="false">'Data Input'!Y97</f>
        <v>18</v>
      </c>
      <c r="G179" s="40" t="n">
        <f aca="false">'Data Input'!T97</f>
        <v>1</v>
      </c>
      <c r="H179" s="41" t="n">
        <f aca="false">'Data Input'!S97</f>
        <v>0</v>
      </c>
      <c r="I179" s="21"/>
      <c r="J179" s="42" t="s">
        <v>27</v>
      </c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H179" s="4" t="n">
        <f aca="false">('Data Input'!C97-$A$1)*24</f>
        <v>14</v>
      </c>
      <c r="BI179" s="4" t="n">
        <f aca="false">('Data Input'!D97-$A$1)*24</f>
        <v>15</v>
      </c>
      <c r="BJ179" s="0" t="n">
        <v>1</v>
      </c>
      <c r="BO179" s="0" t="n">
        <v>-999</v>
      </c>
      <c r="BP179" s="0" t="n">
        <v>-999</v>
      </c>
    </row>
    <row r="180" customFormat="false" ht="11.25" hidden="false" customHeight="true" outlineLevel="0" collapsed="false">
      <c r="A180" s="34"/>
      <c r="B180" s="34"/>
      <c r="C180" s="36"/>
      <c r="D180" s="37"/>
      <c r="E180" s="37"/>
      <c r="F180" s="39"/>
      <c r="G180" s="40"/>
      <c r="H180" s="40"/>
      <c r="I180" s="40"/>
      <c r="J180" s="42" t="s">
        <v>28</v>
      </c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H180" s="4" t="n">
        <f aca="false">IF($BK180="",-999,($BK180-$A$1)*24)</f>
        <v>-999</v>
      </c>
      <c r="BI180" s="4" t="n">
        <f aca="false">IF($BK180="",-999,(IF($BL180&lt;&gt;"",$BL180,IF($C$1&gt;$BK180,$C$1,$BK180+MAX('Data Input'!E97*$BM180,0.5)/24))-$A$1)*24)</f>
        <v>-999</v>
      </c>
      <c r="BJ180" s="4" t="n">
        <f aca="false">IF($BK180="",0,IF($BM180&gt;=1,IF($BN180&lt;=0,2,3),IF($BN180&lt;=0,4,5)))</f>
        <v>0</v>
      </c>
      <c r="BK180" s="0" t="str">
        <f aca="false">IF('Data Input'!Q97="","",'Data Input'!Q97)</f>
        <v/>
      </c>
      <c r="BL180" s="0" t="str">
        <f aca="false">IF('Data Input'!R97="","",'Data Input'!R97)</f>
        <v/>
      </c>
      <c r="BM180" s="4" t="n">
        <f aca="false">'Data Input'!S97</f>
        <v>0</v>
      </c>
      <c r="BN180" s="4" t="n">
        <f aca="false">'Data Input'!Y97</f>
        <v>18</v>
      </c>
      <c r="BO180" s="4" t="n">
        <f aca="false">IF($BM180&gt;=1,-999,MAX(($C$1-$A$1)*24,IF($BK180&lt;&gt;"",$BI180,$BP180-'Data Input'!E97)))</f>
        <v>32</v>
      </c>
      <c r="BP180" s="4" t="n">
        <f aca="false">('Data Input'!D97+'Data Input'!Y97/24-$A$1)*24</f>
        <v>33</v>
      </c>
    </row>
    <row r="181" customFormat="false" ht="11.25" hidden="false" customHeight="true" outlineLevel="0" collapsed="false">
      <c r="A181" s="34" t="n">
        <f aca="false">'Data Input'!A98</f>
        <v>12</v>
      </c>
      <c r="B181" s="35" t="str">
        <f aca="false">'Data Input'!B98</f>
        <v>First layer of ballast (Line 1)</v>
      </c>
      <c r="C181" s="36" t="str">
        <f aca="false">'Data Input'!O98</f>
        <v>NOT STARTED - LATE</v>
      </c>
      <c r="D181" s="37" t="n">
        <f aca="false">'Data Input'!D98</f>
        <v>46311.6666666667</v>
      </c>
      <c r="E181" s="38" t="n">
        <f aca="false">'Data Input'!D98+'Data Input'!Y98/24</f>
        <v>46312.4166666667</v>
      </c>
      <c r="F181" s="39" t="n">
        <f aca="false">'Data Input'!Y98</f>
        <v>18</v>
      </c>
      <c r="G181" s="40" t="n">
        <f aca="false">'Data Input'!T98</f>
        <v>1</v>
      </c>
      <c r="H181" s="41" t="n">
        <f aca="false">'Data Input'!S98</f>
        <v>0</v>
      </c>
      <c r="I181" s="21"/>
      <c r="J181" s="42" t="s">
        <v>27</v>
      </c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H181" s="4" t="n">
        <f aca="false">('Data Input'!C98-$A$1)*24</f>
        <v>15</v>
      </c>
      <c r="BI181" s="4" t="n">
        <f aca="false">('Data Input'!D98-$A$1)*24</f>
        <v>16</v>
      </c>
      <c r="BJ181" s="0" t="n">
        <v>1</v>
      </c>
      <c r="BO181" s="0" t="n">
        <v>-999</v>
      </c>
      <c r="BP181" s="0" t="n">
        <v>-999</v>
      </c>
    </row>
    <row r="182" customFormat="false" ht="11.25" hidden="false" customHeight="true" outlineLevel="0" collapsed="false">
      <c r="A182" s="34"/>
      <c r="B182" s="34"/>
      <c r="C182" s="36"/>
      <c r="D182" s="37"/>
      <c r="E182" s="37"/>
      <c r="F182" s="39"/>
      <c r="G182" s="40"/>
      <c r="H182" s="40"/>
      <c r="I182" s="40"/>
      <c r="J182" s="42" t="s">
        <v>28</v>
      </c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H182" s="4" t="n">
        <f aca="false">IF($BK182="",-999,($BK182-$A$1)*24)</f>
        <v>-999</v>
      </c>
      <c r="BI182" s="4" t="n">
        <f aca="false">IF($BK182="",-999,(IF($BL182&lt;&gt;"",$BL182,IF($C$1&gt;$BK182,$C$1,$BK182+MAX('Data Input'!E98*$BM182,0.5)/24))-$A$1)*24)</f>
        <v>-999</v>
      </c>
      <c r="BJ182" s="4" t="n">
        <f aca="false">IF($BK182="",0,IF($BM182&gt;=1,IF($BN182&lt;=0,2,3),IF($BN182&lt;=0,4,5)))</f>
        <v>0</v>
      </c>
      <c r="BK182" s="0" t="str">
        <f aca="false">IF('Data Input'!Q98="","",'Data Input'!Q98)</f>
        <v/>
      </c>
      <c r="BL182" s="0" t="str">
        <f aca="false">IF('Data Input'!R98="","",'Data Input'!R98)</f>
        <v/>
      </c>
      <c r="BM182" s="4" t="n">
        <f aca="false">'Data Input'!S98</f>
        <v>0</v>
      </c>
      <c r="BN182" s="4" t="n">
        <f aca="false">'Data Input'!Y98</f>
        <v>18</v>
      </c>
      <c r="BO182" s="4" t="n">
        <f aca="false">IF($BM182&gt;=1,-999,MAX(($C$1-$A$1)*24,IF($BK182&lt;&gt;"",$BI182,$BP182-'Data Input'!E98)))</f>
        <v>33</v>
      </c>
      <c r="BP182" s="4" t="n">
        <f aca="false">('Data Input'!D98+'Data Input'!Y98/24-$A$1)*24</f>
        <v>34</v>
      </c>
    </row>
    <row r="183" customFormat="false" ht="11.25" hidden="false" customHeight="true" outlineLevel="0" collapsed="false">
      <c r="A183" s="34" t="n">
        <f aca="false">'Data Input'!A99</f>
        <v>13</v>
      </c>
      <c r="B183" s="35" t="str">
        <f aca="false">'Data Input'!B99</f>
        <v>First layer of ballast (Line 3)</v>
      </c>
      <c r="C183" s="36" t="str">
        <f aca="false">'Data Input'!O99</f>
        <v>NOT STARTED - LATE</v>
      </c>
      <c r="D183" s="37" t="n">
        <f aca="false">'Data Input'!D99</f>
        <v>46311.7083333333</v>
      </c>
      <c r="E183" s="38" t="n">
        <f aca="false">'Data Input'!D99+'Data Input'!Y99/24</f>
        <v>46312.4583333333</v>
      </c>
      <c r="F183" s="39" t="n">
        <f aca="false">'Data Input'!Y99</f>
        <v>18</v>
      </c>
      <c r="G183" s="40" t="n">
        <f aca="false">'Data Input'!T99</f>
        <v>1</v>
      </c>
      <c r="H183" s="41" t="n">
        <f aca="false">'Data Input'!S99</f>
        <v>0</v>
      </c>
      <c r="I183" s="21"/>
      <c r="J183" s="42" t="s">
        <v>27</v>
      </c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H183" s="4" t="n">
        <f aca="false">('Data Input'!C99-$A$1)*24</f>
        <v>16</v>
      </c>
      <c r="BI183" s="4" t="n">
        <f aca="false">('Data Input'!D99-$A$1)*24</f>
        <v>17</v>
      </c>
      <c r="BJ183" s="0" t="n">
        <v>1</v>
      </c>
      <c r="BO183" s="0" t="n">
        <v>-999</v>
      </c>
      <c r="BP183" s="0" t="n">
        <v>-999</v>
      </c>
    </row>
    <row r="184" customFormat="false" ht="11.25" hidden="false" customHeight="true" outlineLevel="0" collapsed="false">
      <c r="A184" s="34"/>
      <c r="B184" s="34"/>
      <c r="C184" s="36"/>
      <c r="D184" s="37"/>
      <c r="E184" s="37"/>
      <c r="F184" s="39"/>
      <c r="G184" s="40"/>
      <c r="H184" s="40"/>
      <c r="I184" s="40"/>
      <c r="J184" s="42" t="s">
        <v>28</v>
      </c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H184" s="4" t="n">
        <f aca="false">IF($BK184="",-999,($BK184-$A$1)*24)</f>
        <v>-999</v>
      </c>
      <c r="BI184" s="4" t="n">
        <f aca="false">IF($BK184="",-999,(IF($BL184&lt;&gt;"",$BL184,IF($C$1&gt;$BK184,$C$1,$BK184+MAX('Data Input'!E99*$BM184,0.5)/24))-$A$1)*24)</f>
        <v>-999</v>
      </c>
      <c r="BJ184" s="4" t="n">
        <f aca="false">IF($BK184="",0,IF($BM184&gt;=1,IF($BN184&lt;=0,2,3),IF($BN184&lt;=0,4,5)))</f>
        <v>0</v>
      </c>
      <c r="BK184" s="0" t="str">
        <f aca="false">IF('Data Input'!Q99="","",'Data Input'!Q99)</f>
        <v/>
      </c>
      <c r="BL184" s="0" t="str">
        <f aca="false">IF('Data Input'!R99="","",'Data Input'!R99)</f>
        <v/>
      </c>
      <c r="BM184" s="4" t="n">
        <f aca="false">'Data Input'!S99</f>
        <v>0</v>
      </c>
      <c r="BN184" s="4" t="n">
        <f aca="false">'Data Input'!Y99</f>
        <v>18</v>
      </c>
      <c r="BO184" s="4" t="n">
        <f aca="false">IF($BM184&gt;=1,-999,MAX(($C$1-$A$1)*24,IF($BK184&lt;&gt;"",$BI184,$BP184-'Data Input'!E99)))</f>
        <v>34</v>
      </c>
      <c r="BP184" s="4" t="n">
        <f aca="false">('Data Input'!D99+'Data Input'!Y99/24-$A$1)*24</f>
        <v>35</v>
      </c>
    </row>
    <row r="185" customFormat="false" ht="11.25" hidden="false" customHeight="true" outlineLevel="0" collapsed="false">
      <c r="A185" s="34" t="n">
        <f aca="false">'Data Input'!A100</f>
        <v>14</v>
      </c>
      <c r="B185" s="35" t="str">
        <f aca="false">'Data Input'!B100</f>
        <v>Track installation (Line 1)</v>
      </c>
      <c r="C185" s="36" t="str">
        <f aca="false">'Data Input'!O100</f>
        <v>NOT STARTED - LATE</v>
      </c>
      <c r="D185" s="37" t="n">
        <f aca="false">'Data Input'!D100</f>
        <v>46311.75</v>
      </c>
      <c r="E185" s="38" t="n">
        <f aca="false">'Data Input'!D100+'Data Input'!Y100/24</f>
        <v>46312.5</v>
      </c>
      <c r="F185" s="39" t="n">
        <f aca="false">'Data Input'!Y100</f>
        <v>18</v>
      </c>
      <c r="G185" s="40" t="n">
        <f aca="false">'Data Input'!T100</f>
        <v>1</v>
      </c>
      <c r="H185" s="41" t="n">
        <f aca="false">'Data Input'!S100</f>
        <v>0</v>
      </c>
      <c r="I185" s="21"/>
      <c r="J185" s="42" t="s">
        <v>27</v>
      </c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H185" s="4" t="n">
        <f aca="false">('Data Input'!C100-$A$1)*24</f>
        <v>17</v>
      </c>
      <c r="BI185" s="4" t="n">
        <f aca="false">('Data Input'!D100-$A$1)*24</f>
        <v>18</v>
      </c>
      <c r="BJ185" s="0" t="n">
        <v>1</v>
      </c>
      <c r="BO185" s="0" t="n">
        <v>-999</v>
      </c>
      <c r="BP185" s="0" t="n">
        <v>-999</v>
      </c>
    </row>
    <row r="186" customFormat="false" ht="11.25" hidden="false" customHeight="true" outlineLevel="0" collapsed="false">
      <c r="A186" s="34"/>
      <c r="B186" s="34"/>
      <c r="C186" s="36"/>
      <c r="D186" s="37"/>
      <c r="E186" s="37"/>
      <c r="F186" s="39"/>
      <c r="G186" s="40"/>
      <c r="H186" s="40"/>
      <c r="I186" s="40"/>
      <c r="J186" s="42" t="s">
        <v>28</v>
      </c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H186" s="4" t="n">
        <f aca="false">IF($BK186="",-999,($BK186-$A$1)*24)</f>
        <v>-999</v>
      </c>
      <c r="BI186" s="4" t="n">
        <f aca="false">IF($BK186="",-999,(IF($BL186&lt;&gt;"",$BL186,IF($C$1&gt;$BK186,$C$1,$BK186+MAX('Data Input'!E100*$BM186,0.5)/24))-$A$1)*24)</f>
        <v>-999</v>
      </c>
      <c r="BJ186" s="4" t="n">
        <f aca="false">IF($BK186="",0,IF($BM186&gt;=1,IF($BN186&lt;=0,2,3),IF($BN186&lt;=0,4,5)))</f>
        <v>0</v>
      </c>
      <c r="BK186" s="0" t="str">
        <f aca="false">IF('Data Input'!Q100="","",'Data Input'!Q100)</f>
        <v/>
      </c>
      <c r="BL186" s="0" t="str">
        <f aca="false">IF('Data Input'!R100="","",'Data Input'!R100)</f>
        <v/>
      </c>
      <c r="BM186" s="4" t="n">
        <f aca="false">'Data Input'!S100</f>
        <v>0</v>
      </c>
      <c r="BN186" s="4" t="n">
        <f aca="false">'Data Input'!Y100</f>
        <v>18</v>
      </c>
      <c r="BO186" s="4" t="n">
        <f aca="false">IF($BM186&gt;=1,-999,MAX(($C$1-$A$1)*24,IF($BK186&lt;&gt;"",$BI186,$BP186-'Data Input'!E100)))</f>
        <v>35</v>
      </c>
      <c r="BP186" s="4" t="n">
        <f aca="false">('Data Input'!D100+'Data Input'!Y100/24-$A$1)*24</f>
        <v>36</v>
      </c>
    </row>
    <row r="187" customFormat="false" ht="11.25" hidden="false" customHeight="true" outlineLevel="0" collapsed="false">
      <c r="A187" s="34" t="n">
        <f aca="false">'Data Input'!A101</f>
        <v>15</v>
      </c>
      <c r="B187" s="35" t="str">
        <f aca="false">'Data Input'!B101</f>
        <v>Track installation (Line 3)</v>
      </c>
      <c r="C187" s="36" t="str">
        <f aca="false">'Data Input'!O101</f>
        <v>NOT STARTED - LATE</v>
      </c>
      <c r="D187" s="37" t="n">
        <f aca="false">'Data Input'!D101</f>
        <v>46311.7916666667</v>
      </c>
      <c r="E187" s="38" t="n">
        <f aca="false">'Data Input'!D101+'Data Input'!Y101/24</f>
        <v>46312.5416666667</v>
      </c>
      <c r="F187" s="39" t="n">
        <f aca="false">'Data Input'!Y101</f>
        <v>18</v>
      </c>
      <c r="G187" s="40" t="n">
        <f aca="false">'Data Input'!T101</f>
        <v>0</v>
      </c>
      <c r="H187" s="41" t="n">
        <f aca="false">'Data Input'!S101</f>
        <v>0</v>
      </c>
      <c r="I187" s="21"/>
      <c r="J187" s="42" t="s">
        <v>27</v>
      </c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H187" s="4" t="n">
        <f aca="false">('Data Input'!C101-$A$1)*24</f>
        <v>18</v>
      </c>
      <c r="BI187" s="4" t="n">
        <f aca="false">('Data Input'!D101-$A$1)*24</f>
        <v>19</v>
      </c>
      <c r="BJ187" s="0" t="n">
        <v>1</v>
      </c>
      <c r="BO187" s="0" t="n">
        <v>-999</v>
      </c>
      <c r="BP187" s="0" t="n">
        <v>-999</v>
      </c>
    </row>
    <row r="188" customFormat="false" ht="11.25" hidden="false" customHeight="true" outlineLevel="0" collapsed="false">
      <c r="A188" s="34"/>
      <c r="B188" s="34"/>
      <c r="C188" s="36"/>
      <c r="D188" s="37"/>
      <c r="E188" s="37"/>
      <c r="F188" s="39"/>
      <c r="G188" s="40"/>
      <c r="H188" s="40"/>
      <c r="I188" s="40"/>
      <c r="J188" s="42" t="s">
        <v>28</v>
      </c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H188" s="4" t="n">
        <f aca="false">IF($BK188="",-999,($BK188-$A$1)*24)</f>
        <v>-999</v>
      </c>
      <c r="BI188" s="4" t="n">
        <f aca="false">IF($BK188="",-999,(IF($BL188&lt;&gt;"",$BL188,IF($C$1&gt;$BK188,$C$1,$BK188+MAX('Data Input'!E101*$BM188,0.5)/24))-$A$1)*24)</f>
        <v>-999</v>
      </c>
      <c r="BJ188" s="4" t="n">
        <f aca="false">IF($BK188="",0,IF($BM188&gt;=1,IF($BN188&lt;=0,2,3),IF($BN188&lt;=0,4,5)))</f>
        <v>0</v>
      </c>
      <c r="BK188" s="0" t="str">
        <f aca="false">IF('Data Input'!Q101="","",'Data Input'!Q101)</f>
        <v/>
      </c>
      <c r="BL188" s="0" t="str">
        <f aca="false">IF('Data Input'!R101="","",'Data Input'!R101)</f>
        <v/>
      </c>
      <c r="BM188" s="4" t="n">
        <f aca="false">'Data Input'!S101</f>
        <v>0</v>
      </c>
      <c r="BN188" s="4" t="n">
        <f aca="false">'Data Input'!Y101</f>
        <v>18</v>
      </c>
      <c r="BO188" s="4" t="n">
        <f aca="false">IF($BM188&gt;=1,-999,MAX(($C$1-$A$1)*24,IF($BK188&lt;&gt;"",$BI188,$BP188-'Data Input'!E101)))</f>
        <v>36</v>
      </c>
      <c r="BP188" s="4" t="n">
        <f aca="false">('Data Input'!D101+'Data Input'!Y101/24-$A$1)*24</f>
        <v>37</v>
      </c>
    </row>
    <row r="189" customFormat="false" ht="11.25" hidden="false" customHeight="true" outlineLevel="0" collapsed="false">
      <c r="A189" s="34" t="n">
        <f aca="false">'Data Input'!A102</f>
        <v>16</v>
      </c>
      <c r="B189" s="35" t="str">
        <f aca="false">'Data Input'!B102</f>
        <v>1st &amp; 2nd Ballasting / Tamping (Line 1)</v>
      </c>
      <c r="C189" s="36" t="str">
        <f aca="false">'Data Input'!O102</f>
        <v>Not Started</v>
      </c>
      <c r="D189" s="37" t="n">
        <f aca="false">'Data Input'!D102</f>
        <v>46311.8333333333</v>
      </c>
      <c r="E189" s="38" t="n">
        <f aca="false">'Data Input'!D102+'Data Input'!Y102/24</f>
        <v>46312.5833333333</v>
      </c>
      <c r="F189" s="39" t="n">
        <f aca="false">'Data Input'!Y102</f>
        <v>18</v>
      </c>
      <c r="G189" s="40" t="n">
        <f aca="false">'Data Input'!T102</f>
        <v>0</v>
      </c>
      <c r="H189" s="41" t="n">
        <f aca="false">'Data Input'!S102</f>
        <v>0</v>
      </c>
      <c r="I189" s="21"/>
      <c r="J189" s="42" t="s">
        <v>27</v>
      </c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H189" s="4" t="n">
        <f aca="false">('Data Input'!C102-$A$1)*24</f>
        <v>19</v>
      </c>
      <c r="BI189" s="4" t="n">
        <f aca="false">('Data Input'!D102-$A$1)*24</f>
        <v>20</v>
      </c>
      <c r="BJ189" s="0" t="n">
        <v>1</v>
      </c>
      <c r="BO189" s="0" t="n">
        <v>-999</v>
      </c>
      <c r="BP189" s="0" t="n">
        <v>-999</v>
      </c>
    </row>
    <row r="190" customFormat="false" ht="11.25" hidden="false" customHeight="true" outlineLevel="0" collapsed="false">
      <c r="A190" s="34"/>
      <c r="B190" s="34"/>
      <c r="C190" s="36"/>
      <c r="D190" s="37"/>
      <c r="E190" s="37"/>
      <c r="F190" s="39"/>
      <c r="G190" s="40"/>
      <c r="H190" s="40"/>
      <c r="I190" s="40"/>
      <c r="J190" s="42" t="s">
        <v>28</v>
      </c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H190" s="4" t="n">
        <f aca="false">IF($BK190="",-999,($BK190-$A$1)*24)</f>
        <v>-999</v>
      </c>
      <c r="BI190" s="4" t="n">
        <f aca="false">IF($BK190="",-999,(IF($BL190&lt;&gt;"",$BL190,IF($C$1&gt;$BK190,$C$1,$BK190+MAX('Data Input'!E102*$BM190,0.5)/24))-$A$1)*24)</f>
        <v>-999</v>
      </c>
      <c r="BJ190" s="4" t="n">
        <f aca="false">IF($BK190="",0,IF($BM190&gt;=1,IF($BN190&lt;=0,2,3),IF($BN190&lt;=0,4,5)))</f>
        <v>0</v>
      </c>
      <c r="BK190" s="0" t="str">
        <f aca="false">IF('Data Input'!Q102="","",'Data Input'!Q102)</f>
        <v/>
      </c>
      <c r="BL190" s="0" t="str">
        <f aca="false">IF('Data Input'!R102="","",'Data Input'!R102)</f>
        <v/>
      </c>
      <c r="BM190" s="4" t="n">
        <f aca="false">'Data Input'!S102</f>
        <v>0</v>
      </c>
      <c r="BN190" s="4" t="n">
        <f aca="false">'Data Input'!Y102</f>
        <v>18</v>
      </c>
      <c r="BO190" s="4" t="n">
        <f aca="false">IF($BM190&gt;=1,-999,MAX(($C$1-$A$1)*24,IF($BK190&lt;&gt;"",$BI190,$BP190-'Data Input'!E102)))</f>
        <v>37</v>
      </c>
      <c r="BP190" s="4" t="n">
        <f aca="false">('Data Input'!D102+'Data Input'!Y102/24-$A$1)*24</f>
        <v>38</v>
      </c>
    </row>
    <row r="191" customFormat="false" ht="11.25" hidden="false" customHeight="true" outlineLevel="0" collapsed="false">
      <c r="A191" s="34" t="n">
        <f aca="false">'Data Input'!A103</f>
        <v>17</v>
      </c>
      <c r="B191" s="35" t="str">
        <f aca="false">'Data Input'!B103</f>
        <v>Final Ballasting / Tamping (Line 1)</v>
      </c>
      <c r="C191" s="36" t="str">
        <f aca="false">'Data Input'!O103</f>
        <v>Not Started</v>
      </c>
      <c r="D191" s="37" t="n">
        <f aca="false">'Data Input'!D103</f>
        <v>46311.875</v>
      </c>
      <c r="E191" s="38" t="n">
        <f aca="false">'Data Input'!D103+'Data Input'!Y103/24</f>
        <v>46312.625</v>
      </c>
      <c r="F191" s="39" t="n">
        <f aca="false">'Data Input'!Y103</f>
        <v>18</v>
      </c>
      <c r="G191" s="40" t="n">
        <f aca="false">'Data Input'!T103</f>
        <v>0</v>
      </c>
      <c r="H191" s="41" t="n">
        <f aca="false">'Data Input'!S103</f>
        <v>0</v>
      </c>
      <c r="I191" s="21"/>
      <c r="J191" s="42" t="s">
        <v>27</v>
      </c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H191" s="4" t="n">
        <f aca="false">('Data Input'!C103-$A$1)*24</f>
        <v>20</v>
      </c>
      <c r="BI191" s="4" t="n">
        <f aca="false">('Data Input'!D103-$A$1)*24</f>
        <v>21</v>
      </c>
      <c r="BJ191" s="0" t="n">
        <v>1</v>
      </c>
      <c r="BO191" s="0" t="n">
        <v>-999</v>
      </c>
      <c r="BP191" s="0" t="n">
        <v>-999</v>
      </c>
    </row>
    <row r="192" customFormat="false" ht="11.25" hidden="false" customHeight="true" outlineLevel="0" collapsed="false">
      <c r="A192" s="34"/>
      <c r="B192" s="34"/>
      <c r="C192" s="36"/>
      <c r="D192" s="37"/>
      <c r="E192" s="37"/>
      <c r="F192" s="39"/>
      <c r="G192" s="40"/>
      <c r="H192" s="40"/>
      <c r="I192" s="40"/>
      <c r="J192" s="42" t="s">
        <v>28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H192" s="4" t="n">
        <f aca="false">IF($BK192="",-999,($BK192-$A$1)*24)</f>
        <v>-999</v>
      </c>
      <c r="BI192" s="4" t="n">
        <f aca="false">IF($BK192="",-999,(IF($BL192&lt;&gt;"",$BL192,IF($C$1&gt;$BK192,$C$1,$BK192+MAX('Data Input'!E103*$BM192,0.5)/24))-$A$1)*24)</f>
        <v>-999</v>
      </c>
      <c r="BJ192" s="4" t="n">
        <f aca="false">IF($BK192="",0,IF($BM192&gt;=1,IF($BN192&lt;=0,2,3),IF($BN192&lt;=0,4,5)))</f>
        <v>0</v>
      </c>
      <c r="BK192" s="0" t="str">
        <f aca="false">IF('Data Input'!Q103="","",'Data Input'!Q103)</f>
        <v/>
      </c>
      <c r="BL192" s="0" t="str">
        <f aca="false">IF('Data Input'!R103="","",'Data Input'!R103)</f>
        <v/>
      </c>
      <c r="BM192" s="4" t="n">
        <f aca="false">'Data Input'!S103</f>
        <v>0</v>
      </c>
      <c r="BN192" s="4" t="n">
        <f aca="false">'Data Input'!Y103</f>
        <v>18</v>
      </c>
      <c r="BO192" s="4" t="n">
        <f aca="false">IF($BM192&gt;=1,-999,MAX(($C$1-$A$1)*24,IF($BK192&lt;&gt;"",$BI192,$BP192-'Data Input'!E103)))</f>
        <v>38</v>
      </c>
      <c r="BP192" s="4" t="n">
        <f aca="false">('Data Input'!D103+'Data Input'!Y103/24-$A$1)*24</f>
        <v>39</v>
      </c>
    </row>
    <row r="193" customFormat="false" ht="11.25" hidden="false" customHeight="true" outlineLevel="0" collapsed="false">
      <c r="A193" s="34" t="n">
        <f aca="false">'Data Input'!A104</f>
        <v>18</v>
      </c>
      <c r="B193" s="35" t="str">
        <f aca="false">'Data Input'!B104</f>
        <v>OTMP moves from line 1 to Line 3</v>
      </c>
      <c r="C193" s="36" t="str">
        <f aca="false">'Data Input'!O104</f>
        <v>Not Started</v>
      </c>
      <c r="D193" s="37" t="n">
        <f aca="false">'Data Input'!D104</f>
        <v>46311.9166666667</v>
      </c>
      <c r="E193" s="38" t="n">
        <f aca="false">'Data Input'!D104+'Data Input'!Y104/24</f>
        <v>46312.6666666667</v>
      </c>
      <c r="F193" s="39" t="n">
        <f aca="false">'Data Input'!Y104</f>
        <v>18</v>
      </c>
      <c r="G193" s="40" t="n">
        <f aca="false">'Data Input'!T104</f>
        <v>0</v>
      </c>
      <c r="H193" s="41" t="n">
        <f aca="false">'Data Input'!S104</f>
        <v>0</v>
      </c>
      <c r="I193" s="21"/>
      <c r="J193" s="42" t="s">
        <v>27</v>
      </c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H193" s="4" t="n">
        <f aca="false">('Data Input'!C104-$A$1)*24</f>
        <v>21</v>
      </c>
      <c r="BI193" s="4" t="n">
        <f aca="false">('Data Input'!D104-$A$1)*24</f>
        <v>22</v>
      </c>
      <c r="BJ193" s="0" t="n">
        <v>1</v>
      </c>
      <c r="BO193" s="0" t="n">
        <v>-999</v>
      </c>
      <c r="BP193" s="0" t="n">
        <v>-999</v>
      </c>
    </row>
    <row r="194" customFormat="false" ht="11.25" hidden="false" customHeight="true" outlineLevel="0" collapsed="false">
      <c r="A194" s="34"/>
      <c r="B194" s="34"/>
      <c r="C194" s="36"/>
      <c r="D194" s="37"/>
      <c r="E194" s="37"/>
      <c r="F194" s="39"/>
      <c r="G194" s="40"/>
      <c r="H194" s="40"/>
      <c r="I194" s="40"/>
      <c r="J194" s="42" t="s">
        <v>28</v>
      </c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H194" s="4" t="n">
        <f aca="false">IF($BK194="",-999,($BK194-$A$1)*24)</f>
        <v>-999</v>
      </c>
      <c r="BI194" s="4" t="n">
        <f aca="false">IF($BK194="",-999,(IF($BL194&lt;&gt;"",$BL194,IF($C$1&gt;$BK194,$C$1,$BK194+MAX('Data Input'!E104*$BM194,0.5)/24))-$A$1)*24)</f>
        <v>-999</v>
      </c>
      <c r="BJ194" s="4" t="n">
        <f aca="false">IF($BK194="",0,IF($BM194&gt;=1,IF($BN194&lt;=0,2,3),IF($BN194&lt;=0,4,5)))</f>
        <v>0</v>
      </c>
      <c r="BK194" s="0" t="str">
        <f aca="false">IF('Data Input'!Q104="","",'Data Input'!Q104)</f>
        <v/>
      </c>
      <c r="BL194" s="0" t="str">
        <f aca="false">IF('Data Input'!R104="","",'Data Input'!R104)</f>
        <v/>
      </c>
      <c r="BM194" s="4" t="n">
        <f aca="false">'Data Input'!S104</f>
        <v>0</v>
      </c>
      <c r="BN194" s="4" t="n">
        <f aca="false">'Data Input'!Y104</f>
        <v>18</v>
      </c>
      <c r="BO194" s="4" t="n">
        <f aca="false">IF($BM194&gt;=1,-999,MAX(($C$1-$A$1)*24,IF($BK194&lt;&gt;"",$BI194,$BP194-'Data Input'!E104)))</f>
        <v>39</v>
      </c>
      <c r="BP194" s="4" t="n">
        <f aca="false">('Data Input'!D104+'Data Input'!Y104/24-$A$1)*24</f>
        <v>40</v>
      </c>
    </row>
    <row r="195" customFormat="false" ht="11.25" hidden="false" customHeight="true" outlineLevel="0" collapsed="false">
      <c r="A195" s="34" t="n">
        <f aca="false">'Data Input'!A105</f>
        <v>19</v>
      </c>
      <c r="B195" s="35" t="str">
        <f aca="false">'Data Input'!B105</f>
        <v>ATW – 4U (out of destressing) (Line 1)</v>
      </c>
      <c r="C195" s="36" t="str">
        <f aca="false">'Data Input'!O105</f>
        <v>Not Started</v>
      </c>
      <c r="D195" s="37" t="n">
        <f aca="false">'Data Input'!D105</f>
        <v>46312</v>
      </c>
      <c r="E195" s="38" t="n">
        <f aca="false">'Data Input'!D105+'Data Input'!Y105/24</f>
        <v>46312.75</v>
      </c>
      <c r="F195" s="39" t="n">
        <f aca="false">'Data Input'!Y105</f>
        <v>18</v>
      </c>
      <c r="G195" s="40" t="n">
        <f aca="false">'Data Input'!T105</f>
        <v>0</v>
      </c>
      <c r="H195" s="41" t="n">
        <f aca="false">'Data Input'!S105</f>
        <v>0</v>
      </c>
      <c r="I195" s="21"/>
      <c r="J195" s="42" t="s">
        <v>27</v>
      </c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H195" s="4" t="n">
        <f aca="false">('Data Input'!C105-$A$1)*24</f>
        <v>22</v>
      </c>
      <c r="BI195" s="4" t="n">
        <f aca="false">('Data Input'!D105-$A$1)*24</f>
        <v>24</v>
      </c>
      <c r="BJ195" s="0" t="n">
        <v>1</v>
      </c>
      <c r="BO195" s="0" t="n">
        <v>-999</v>
      </c>
      <c r="BP195" s="0" t="n">
        <v>-999</v>
      </c>
    </row>
    <row r="196" customFormat="false" ht="11.25" hidden="false" customHeight="true" outlineLevel="0" collapsed="false">
      <c r="A196" s="34"/>
      <c r="B196" s="34"/>
      <c r="C196" s="36"/>
      <c r="D196" s="37"/>
      <c r="E196" s="37"/>
      <c r="F196" s="39"/>
      <c r="G196" s="40"/>
      <c r="H196" s="40"/>
      <c r="I196" s="40"/>
      <c r="J196" s="42" t="s">
        <v>28</v>
      </c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H196" s="4" t="n">
        <f aca="false">IF($BK196="",-999,($BK196-$A$1)*24)</f>
        <v>-999</v>
      </c>
      <c r="BI196" s="4" t="n">
        <f aca="false">IF($BK196="",-999,(IF($BL196&lt;&gt;"",$BL196,IF($C$1&gt;$BK196,$C$1,$BK196+MAX('Data Input'!E105*$BM196,0.5)/24))-$A$1)*24)</f>
        <v>-999</v>
      </c>
      <c r="BJ196" s="4" t="n">
        <f aca="false">IF($BK196="",0,IF($BM196&gt;=1,IF($BN196&lt;=0,2,3),IF($BN196&lt;=0,4,5)))</f>
        <v>0</v>
      </c>
      <c r="BK196" s="0" t="str">
        <f aca="false">IF('Data Input'!Q105="","",'Data Input'!Q105)</f>
        <v/>
      </c>
      <c r="BL196" s="0" t="str">
        <f aca="false">IF('Data Input'!R105="","",'Data Input'!R105)</f>
        <v/>
      </c>
      <c r="BM196" s="4" t="n">
        <f aca="false">'Data Input'!S105</f>
        <v>0</v>
      </c>
      <c r="BN196" s="4" t="n">
        <f aca="false">'Data Input'!Y105</f>
        <v>18</v>
      </c>
      <c r="BO196" s="4" t="n">
        <f aca="false">IF($BM196&gt;=1,-999,MAX(($C$1-$A$1)*24,IF($BK196&lt;&gt;"",$BI196,$BP196-'Data Input'!E105)))</f>
        <v>40</v>
      </c>
      <c r="BP196" s="4" t="n">
        <f aca="false">('Data Input'!D105+'Data Input'!Y105/24-$A$1)*24</f>
        <v>42</v>
      </c>
    </row>
    <row r="197" customFormat="false" ht="11.25" hidden="false" customHeight="true" outlineLevel="0" collapsed="false">
      <c r="A197" s="34" t="n">
        <f aca="false">'Data Input'!A106</f>
        <v>20</v>
      </c>
      <c r="B197" s="35" t="str">
        <f aca="false">'Data Input'!B106</f>
        <v>ATW – 4U (out of destressing) (Line 3)</v>
      </c>
      <c r="C197" s="36" t="str">
        <f aca="false">'Data Input'!O106</f>
        <v>Not Started</v>
      </c>
      <c r="D197" s="37" t="n">
        <f aca="false">'Data Input'!D106</f>
        <v>46312.0833333333</v>
      </c>
      <c r="E197" s="38" t="n">
        <f aca="false">'Data Input'!D106+'Data Input'!Y106/24</f>
        <v>46312.8333333333</v>
      </c>
      <c r="F197" s="39" t="n">
        <f aca="false">'Data Input'!Y106</f>
        <v>18</v>
      </c>
      <c r="G197" s="40" t="n">
        <f aca="false">'Data Input'!T106</f>
        <v>0</v>
      </c>
      <c r="H197" s="41" t="n">
        <f aca="false">'Data Input'!S106</f>
        <v>0</v>
      </c>
      <c r="I197" s="21"/>
      <c r="J197" s="42" t="s">
        <v>27</v>
      </c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H197" s="4" t="n">
        <f aca="false">('Data Input'!C106-$A$1)*24</f>
        <v>24</v>
      </c>
      <c r="BI197" s="4" t="n">
        <f aca="false">('Data Input'!D106-$A$1)*24</f>
        <v>26</v>
      </c>
      <c r="BJ197" s="0" t="n">
        <v>1</v>
      </c>
      <c r="BO197" s="0" t="n">
        <v>-999</v>
      </c>
      <c r="BP197" s="0" t="n">
        <v>-999</v>
      </c>
    </row>
    <row r="198" customFormat="false" ht="11.25" hidden="false" customHeight="true" outlineLevel="0" collapsed="false">
      <c r="A198" s="34"/>
      <c r="B198" s="34"/>
      <c r="C198" s="36"/>
      <c r="D198" s="37"/>
      <c r="E198" s="37"/>
      <c r="F198" s="39"/>
      <c r="G198" s="40"/>
      <c r="H198" s="40"/>
      <c r="I198" s="40"/>
      <c r="J198" s="42" t="s">
        <v>28</v>
      </c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H198" s="4" t="n">
        <f aca="false">IF($BK198="",-999,($BK198-$A$1)*24)</f>
        <v>-999</v>
      </c>
      <c r="BI198" s="4" t="n">
        <f aca="false">IF($BK198="",-999,(IF($BL198&lt;&gt;"",$BL198,IF($C$1&gt;$BK198,$C$1,$BK198+MAX('Data Input'!E106*$BM198,0.5)/24))-$A$1)*24)</f>
        <v>-999</v>
      </c>
      <c r="BJ198" s="4" t="n">
        <f aca="false">IF($BK198="",0,IF($BM198&gt;=1,IF($BN198&lt;=0,2,3),IF($BN198&lt;=0,4,5)))</f>
        <v>0</v>
      </c>
      <c r="BK198" s="0" t="str">
        <f aca="false">IF('Data Input'!Q106="","",'Data Input'!Q106)</f>
        <v/>
      </c>
      <c r="BL198" s="0" t="str">
        <f aca="false">IF('Data Input'!R106="","",'Data Input'!R106)</f>
        <v/>
      </c>
      <c r="BM198" s="4" t="n">
        <f aca="false">'Data Input'!S106</f>
        <v>0</v>
      </c>
      <c r="BN198" s="4" t="n">
        <f aca="false">'Data Input'!Y106</f>
        <v>18</v>
      </c>
      <c r="BO198" s="4" t="n">
        <f aca="false">IF($BM198&gt;=1,-999,MAX(($C$1-$A$1)*24,IF($BK198&lt;&gt;"",$BI198,$BP198-'Data Input'!E106)))</f>
        <v>42</v>
      </c>
      <c r="BP198" s="4" t="n">
        <f aca="false">('Data Input'!D106+'Data Input'!Y106/24-$A$1)*24</f>
        <v>44</v>
      </c>
    </row>
    <row r="199" customFormat="false" ht="11.25" hidden="false" customHeight="true" outlineLevel="0" collapsed="false">
      <c r="A199" s="34" t="n">
        <f aca="false">'Data Input'!A107</f>
        <v>21</v>
      </c>
      <c r="B199" s="35" t="str">
        <f aca="false">'Data Input'!B107</f>
        <v>1st &amp; 2nd Ballasting / Tamping (Line 3)</v>
      </c>
      <c r="C199" s="36" t="str">
        <f aca="false">'Data Input'!O107</f>
        <v>Not Started</v>
      </c>
      <c r="D199" s="37" t="n">
        <f aca="false">'Data Input'!D107</f>
        <v>46312.125</v>
      </c>
      <c r="E199" s="38" t="n">
        <f aca="false">'Data Input'!D107+'Data Input'!Y107/24</f>
        <v>46312.875</v>
      </c>
      <c r="F199" s="39" t="n">
        <f aca="false">'Data Input'!Y107</f>
        <v>18</v>
      </c>
      <c r="G199" s="40" t="n">
        <f aca="false">'Data Input'!T107</f>
        <v>0</v>
      </c>
      <c r="H199" s="41" t="n">
        <f aca="false">'Data Input'!S107</f>
        <v>0</v>
      </c>
      <c r="I199" s="21"/>
      <c r="J199" s="42" t="s">
        <v>27</v>
      </c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H199" s="4" t="n">
        <f aca="false">('Data Input'!C107-$A$1)*24</f>
        <v>26</v>
      </c>
      <c r="BI199" s="4" t="n">
        <f aca="false">('Data Input'!D107-$A$1)*24</f>
        <v>27</v>
      </c>
      <c r="BJ199" s="0" t="n">
        <v>1</v>
      </c>
      <c r="BO199" s="0" t="n">
        <v>-999</v>
      </c>
      <c r="BP199" s="0" t="n">
        <v>-999</v>
      </c>
    </row>
    <row r="200" customFormat="false" ht="11.25" hidden="false" customHeight="true" outlineLevel="0" collapsed="false">
      <c r="A200" s="34"/>
      <c r="B200" s="34"/>
      <c r="C200" s="36"/>
      <c r="D200" s="37"/>
      <c r="E200" s="37"/>
      <c r="F200" s="39"/>
      <c r="G200" s="40"/>
      <c r="H200" s="40"/>
      <c r="I200" s="40"/>
      <c r="J200" s="42" t="s">
        <v>28</v>
      </c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H200" s="4" t="n">
        <f aca="false">IF($BK200="",-999,($BK200-$A$1)*24)</f>
        <v>-999</v>
      </c>
      <c r="BI200" s="4" t="n">
        <f aca="false">IF($BK200="",-999,(IF($BL200&lt;&gt;"",$BL200,IF($C$1&gt;$BK200,$C$1,$BK200+MAX('Data Input'!E107*$BM200,0.5)/24))-$A$1)*24)</f>
        <v>-999</v>
      </c>
      <c r="BJ200" s="4" t="n">
        <f aca="false">IF($BK200="",0,IF($BM200&gt;=1,IF($BN200&lt;=0,2,3),IF($BN200&lt;=0,4,5)))</f>
        <v>0</v>
      </c>
      <c r="BK200" s="0" t="str">
        <f aca="false">IF('Data Input'!Q107="","",'Data Input'!Q107)</f>
        <v/>
      </c>
      <c r="BL200" s="0" t="str">
        <f aca="false">IF('Data Input'!R107="","",'Data Input'!R107)</f>
        <v/>
      </c>
      <c r="BM200" s="4" t="n">
        <f aca="false">'Data Input'!S107</f>
        <v>0</v>
      </c>
      <c r="BN200" s="4" t="n">
        <f aca="false">'Data Input'!Y107</f>
        <v>18</v>
      </c>
      <c r="BO200" s="4" t="n">
        <f aca="false">IF($BM200&gt;=1,-999,MAX(($C$1-$A$1)*24,IF($BK200&lt;&gt;"",$BI200,$BP200-'Data Input'!E107)))</f>
        <v>44</v>
      </c>
      <c r="BP200" s="4" t="n">
        <f aca="false">('Data Input'!D107+'Data Input'!Y107/24-$A$1)*24</f>
        <v>45</v>
      </c>
    </row>
    <row r="201" customFormat="false" ht="11.25" hidden="false" customHeight="true" outlineLevel="0" collapsed="false">
      <c r="A201" s="34" t="n">
        <f aca="false">'Data Input'!A108</f>
        <v>22</v>
      </c>
      <c r="B201" s="35" t="str">
        <f aca="false">'Data Input'!B108</f>
        <v>Final Ballasting / Tamping (Line 3)</v>
      </c>
      <c r="C201" s="36" t="str">
        <f aca="false">'Data Input'!O108</f>
        <v>Not Started</v>
      </c>
      <c r="D201" s="37" t="n">
        <f aca="false">'Data Input'!D108</f>
        <v>46312.1666666667</v>
      </c>
      <c r="E201" s="38" t="n">
        <f aca="false">'Data Input'!D108+'Data Input'!Y108/24</f>
        <v>46312.9166666667</v>
      </c>
      <c r="F201" s="39" t="n">
        <f aca="false">'Data Input'!Y108</f>
        <v>18</v>
      </c>
      <c r="G201" s="40" t="n">
        <f aca="false">'Data Input'!T108</f>
        <v>0</v>
      </c>
      <c r="H201" s="41" t="n">
        <f aca="false">'Data Input'!S108</f>
        <v>0</v>
      </c>
      <c r="I201" s="21"/>
      <c r="J201" s="42" t="s">
        <v>27</v>
      </c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H201" s="4" t="n">
        <f aca="false">('Data Input'!C108-$A$1)*24</f>
        <v>27</v>
      </c>
      <c r="BI201" s="4" t="n">
        <f aca="false">('Data Input'!D108-$A$1)*24</f>
        <v>28</v>
      </c>
      <c r="BJ201" s="0" t="n">
        <v>1</v>
      </c>
      <c r="BO201" s="0" t="n">
        <v>-999</v>
      </c>
      <c r="BP201" s="0" t="n">
        <v>-999</v>
      </c>
    </row>
    <row r="202" customFormat="false" ht="11.25" hidden="false" customHeight="true" outlineLevel="0" collapsed="false">
      <c r="A202" s="34"/>
      <c r="B202" s="34"/>
      <c r="C202" s="36"/>
      <c r="D202" s="37"/>
      <c r="E202" s="37"/>
      <c r="F202" s="39"/>
      <c r="G202" s="40"/>
      <c r="H202" s="40"/>
      <c r="I202" s="40"/>
      <c r="J202" s="42" t="s">
        <v>28</v>
      </c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H202" s="4" t="n">
        <f aca="false">IF($BK202="",-999,($BK202-$A$1)*24)</f>
        <v>-999</v>
      </c>
      <c r="BI202" s="4" t="n">
        <f aca="false">IF($BK202="",-999,(IF($BL202&lt;&gt;"",$BL202,IF($C$1&gt;$BK202,$C$1,$BK202+MAX('Data Input'!E108*$BM202,0.5)/24))-$A$1)*24)</f>
        <v>-999</v>
      </c>
      <c r="BJ202" s="4" t="n">
        <f aca="false">IF($BK202="",0,IF($BM202&gt;=1,IF($BN202&lt;=0,2,3),IF($BN202&lt;=0,4,5)))</f>
        <v>0</v>
      </c>
      <c r="BK202" s="0" t="str">
        <f aca="false">IF('Data Input'!Q108="","",'Data Input'!Q108)</f>
        <v/>
      </c>
      <c r="BL202" s="0" t="str">
        <f aca="false">IF('Data Input'!R108="","",'Data Input'!R108)</f>
        <v/>
      </c>
      <c r="BM202" s="4" t="n">
        <f aca="false">'Data Input'!S108</f>
        <v>0</v>
      </c>
      <c r="BN202" s="4" t="n">
        <f aca="false">'Data Input'!Y108</f>
        <v>18</v>
      </c>
      <c r="BO202" s="4" t="n">
        <f aca="false">IF($BM202&gt;=1,-999,MAX(($C$1-$A$1)*24,IF($BK202&lt;&gt;"",$BI202,$BP202-'Data Input'!E108)))</f>
        <v>45</v>
      </c>
      <c r="BP202" s="4" t="n">
        <f aca="false">('Data Input'!D108+'Data Input'!Y108/24-$A$1)*24</f>
        <v>46</v>
      </c>
    </row>
    <row r="203" customFormat="false" ht="11.25" hidden="false" customHeight="true" outlineLevel="0" collapsed="false">
      <c r="A203" s="34" t="n">
        <f aca="false">'Data Input'!A109</f>
        <v>23</v>
      </c>
      <c r="B203" s="35" t="str">
        <f aca="false">'Data Input'!B109</f>
        <v>OTMP back towards station 29</v>
      </c>
      <c r="C203" s="36" t="str">
        <f aca="false">'Data Input'!O109</f>
        <v>Not Started</v>
      </c>
      <c r="D203" s="37" t="n">
        <f aca="false">'Data Input'!D109</f>
        <v>46312.25</v>
      </c>
      <c r="E203" s="38" t="n">
        <f aca="false">'Data Input'!D109+'Data Input'!Y109/24</f>
        <v>46313</v>
      </c>
      <c r="F203" s="39" t="n">
        <f aca="false">'Data Input'!Y109</f>
        <v>18</v>
      </c>
      <c r="G203" s="40" t="n">
        <f aca="false">'Data Input'!T109</f>
        <v>0</v>
      </c>
      <c r="H203" s="41" t="n">
        <f aca="false">'Data Input'!S109</f>
        <v>0</v>
      </c>
      <c r="I203" s="21"/>
      <c r="J203" s="42" t="s">
        <v>27</v>
      </c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H203" s="4" t="n">
        <f aca="false">('Data Input'!C109-$A$1)*24</f>
        <v>28</v>
      </c>
      <c r="BI203" s="4" t="n">
        <f aca="false">('Data Input'!D109-$A$1)*24</f>
        <v>30</v>
      </c>
      <c r="BJ203" s="0" t="n">
        <v>1</v>
      </c>
      <c r="BO203" s="0" t="n">
        <v>-999</v>
      </c>
      <c r="BP203" s="0" t="n">
        <v>-999</v>
      </c>
    </row>
    <row r="204" customFormat="false" ht="11.25" hidden="false" customHeight="true" outlineLevel="0" collapsed="false">
      <c r="A204" s="34"/>
      <c r="B204" s="34"/>
      <c r="C204" s="36"/>
      <c r="D204" s="37"/>
      <c r="E204" s="37"/>
      <c r="F204" s="39"/>
      <c r="G204" s="40"/>
      <c r="H204" s="40"/>
      <c r="I204" s="40"/>
      <c r="J204" s="42" t="s">
        <v>28</v>
      </c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H204" s="4" t="n">
        <f aca="false">IF($BK204="",-999,($BK204-$A$1)*24)</f>
        <v>-999</v>
      </c>
      <c r="BI204" s="4" t="n">
        <f aca="false">IF($BK204="",-999,(IF($BL204&lt;&gt;"",$BL204,IF($C$1&gt;$BK204,$C$1,$BK204+MAX('Data Input'!E109*$BM204,0.5)/24))-$A$1)*24)</f>
        <v>-999</v>
      </c>
      <c r="BJ204" s="4" t="n">
        <f aca="false">IF($BK204="",0,IF($BM204&gt;=1,IF($BN204&lt;=0,2,3),IF($BN204&lt;=0,4,5)))</f>
        <v>0</v>
      </c>
      <c r="BK204" s="0" t="str">
        <f aca="false">IF('Data Input'!Q109="","",'Data Input'!Q109)</f>
        <v/>
      </c>
      <c r="BL204" s="0" t="str">
        <f aca="false">IF('Data Input'!R109="","",'Data Input'!R109)</f>
        <v/>
      </c>
      <c r="BM204" s="4" t="n">
        <f aca="false">'Data Input'!S109</f>
        <v>0</v>
      </c>
      <c r="BN204" s="4" t="n">
        <f aca="false">'Data Input'!Y109</f>
        <v>18</v>
      </c>
      <c r="BO204" s="4" t="n">
        <f aca="false">IF($BM204&gt;=1,-999,MAX(($C$1-$A$1)*24,IF($BK204&lt;&gt;"",$BI204,$BP204-'Data Input'!E109)))</f>
        <v>46</v>
      </c>
      <c r="BP204" s="4" t="n">
        <f aca="false">('Data Input'!D109+'Data Input'!Y109/24-$A$1)*24</f>
        <v>48</v>
      </c>
    </row>
    <row r="205" customFormat="false" ht="11.25" hidden="false" customHeight="true" outlineLevel="0" collapsed="false">
      <c r="A205" s="34" t="n">
        <f aca="false">'Data Input'!A110</f>
        <v>24</v>
      </c>
      <c r="B205" s="35" t="str">
        <f aca="false">'Data Input'!B110</f>
        <v>Destressing (incl. 2 ATW) (Line 1)</v>
      </c>
      <c r="C205" s="36" t="str">
        <f aca="false">'Data Input'!O110</f>
        <v>Not Started</v>
      </c>
      <c r="D205" s="37" t="n">
        <f aca="false">'Data Input'!D110</f>
        <v>46312.4166666667</v>
      </c>
      <c r="E205" s="38" t="n">
        <f aca="false">'Data Input'!D110+'Data Input'!Y110/24</f>
        <v>46313.1666666667</v>
      </c>
      <c r="F205" s="39" t="n">
        <f aca="false">'Data Input'!Y110</f>
        <v>18</v>
      </c>
      <c r="G205" s="40" t="n">
        <f aca="false">'Data Input'!T110</f>
        <v>0</v>
      </c>
      <c r="H205" s="41" t="n">
        <f aca="false">'Data Input'!S110</f>
        <v>0</v>
      </c>
      <c r="I205" s="21"/>
      <c r="J205" s="42" t="s">
        <v>27</v>
      </c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H205" s="4" t="n">
        <f aca="false">('Data Input'!C110-$A$1)*24</f>
        <v>30</v>
      </c>
      <c r="BI205" s="4" t="n">
        <f aca="false">('Data Input'!D110-$A$1)*24</f>
        <v>34</v>
      </c>
      <c r="BJ205" s="0" t="n">
        <v>1</v>
      </c>
      <c r="BO205" s="0" t="n">
        <v>-999</v>
      </c>
      <c r="BP205" s="0" t="n">
        <v>-999</v>
      </c>
    </row>
    <row r="206" customFormat="false" ht="11.25" hidden="false" customHeight="true" outlineLevel="0" collapsed="false">
      <c r="A206" s="34"/>
      <c r="B206" s="34"/>
      <c r="C206" s="36"/>
      <c r="D206" s="37"/>
      <c r="E206" s="37"/>
      <c r="F206" s="39"/>
      <c r="G206" s="40"/>
      <c r="H206" s="40"/>
      <c r="I206" s="40"/>
      <c r="J206" s="42" t="s">
        <v>28</v>
      </c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H206" s="4" t="n">
        <f aca="false">IF($BK206="",-999,($BK206-$A$1)*24)</f>
        <v>-999</v>
      </c>
      <c r="BI206" s="4" t="n">
        <f aca="false">IF($BK206="",-999,(IF($BL206&lt;&gt;"",$BL206,IF($C$1&gt;$BK206,$C$1,$BK206+MAX('Data Input'!E110*$BM206,0.5)/24))-$A$1)*24)</f>
        <v>-999</v>
      </c>
      <c r="BJ206" s="4" t="n">
        <f aca="false">IF($BK206="",0,IF($BM206&gt;=1,IF($BN206&lt;=0,2,3),IF($BN206&lt;=0,4,5)))</f>
        <v>0</v>
      </c>
      <c r="BK206" s="0" t="str">
        <f aca="false">IF('Data Input'!Q110="","",'Data Input'!Q110)</f>
        <v/>
      </c>
      <c r="BL206" s="0" t="str">
        <f aca="false">IF('Data Input'!R110="","",'Data Input'!R110)</f>
        <v/>
      </c>
      <c r="BM206" s="4" t="n">
        <f aca="false">'Data Input'!S110</f>
        <v>0</v>
      </c>
      <c r="BN206" s="4" t="n">
        <f aca="false">'Data Input'!Y110</f>
        <v>18</v>
      </c>
      <c r="BO206" s="4" t="n">
        <f aca="false">IF($BM206&gt;=1,-999,MAX(($C$1-$A$1)*24,IF($BK206&lt;&gt;"",$BI206,$BP206-'Data Input'!E110)))</f>
        <v>48</v>
      </c>
      <c r="BP206" s="4" t="n">
        <f aca="false">('Data Input'!D110+'Data Input'!Y110/24-$A$1)*24</f>
        <v>52</v>
      </c>
    </row>
    <row r="207" customFormat="false" ht="11.25" hidden="false" customHeight="true" outlineLevel="0" collapsed="false">
      <c r="A207" s="34" t="n">
        <f aca="false">'Data Input'!A111</f>
        <v>25</v>
      </c>
      <c r="B207" s="35" t="str">
        <f aca="false">'Data Input'!B111</f>
        <v>Destressing (incl. 2 ATW) (Line 3)</v>
      </c>
      <c r="C207" s="36" t="str">
        <f aca="false">'Data Input'!O111</f>
        <v>Not Started</v>
      </c>
      <c r="D207" s="37" t="n">
        <f aca="false">'Data Input'!D111</f>
        <v>46312.5833333333</v>
      </c>
      <c r="E207" s="38" t="n">
        <f aca="false">'Data Input'!D111+'Data Input'!Y111/24</f>
        <v>46313.3333333333</v>
      </c>
      <c r="F207" s="39" t="n">
        <f aca="false">'Data Input'!Y111</f>
        <v>18</v>
      </c>
      <c r="G207" s="40" t="n">
        <f aca="false">'Data Input'!T111</f>
        <v>0</v>
      </c>
      <c r="H207" s="41" t="n">
        <f aca="false">'Data Input'!S111</f>
        <v>0</v>
      </c>
      <c r="I207" s="21"/>
      <c r="J207" s="42" t="s">
        <v>27</v>
      </c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H207" s="4" t="n">
        <f aca="false">('Data Input'!C111-$A$1)*24</f>
        <v>34</v>
      </c>
      <c r="BI207" s="4" t="n">
        <f aca="false">('Data Input'!D111-$A$1)*24</f>
        <v>38</v>
      </c>
      <c r="BJ207" s="0" t="n">
        <v>1</v>
      </c>
      <c r="BO207" s="0" t="n">
        <v>-999</v>
      </c>
      <c r="BP207" s="0" t="n">
        <v>-999</v>
      </c>
    </row>
    <row r="208" customFormat="false" ht="11.25" hidden="false" customHeight="true" outlineLevel="0" collapsed="false">
      <c r="A208" s="34"/>
      <c r="B208" s="34"/>
      <c r="C208" s="36"/>
      <c r="D208" s="37"/>
      <c r="E208" s="37"/>
      <c r="F208" s="39"/>
      <c r="G208" s="40"/>
      <c r="H208" s="40"/>
      <c r="I208" s="40"/>
      <c r="J208" s="42" t="s">
        <v>28</v>
      </c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H208" s="4" t="n">
        <f aca="false">IF($BK208="",-999,($BK208-$A$1)*24)</f>
        <v>-999</v>
      </c>
      <c r="BI208" s="4" t="n">
        <f aca="false">IF($BK208="",-999,(IF($BL208&lt;&gt;"",$BL208,IF($C$1&gt;$BK208,$C$1,$BK208+MAX('Data Input'!E111*$BM208,0.5)/24))-$A$1)*24)</f>
        <v>-999</v>
      </c>
      <c r="BJ208" s="4" t="n">
        <f aca="false">IF($BK208="",0,IF($BM208&gt;=1,IF($BN208&lt;=0,2,3),IF($BN208&lt;=0,4,5)))</f>
        <v>0</v>
      </c>
      <c r="BK208" s="0" t="str">
        <f aca="false">IF('Data Input'!Q111="","",'Data Input'!Q111)</f>
        <v/>
      </c>
      <c r="BL208" s="0" t="str">
        <f aca="false">IF('Data Input'!R111="","",'Data Input'!R111)</f>
        <v/>
      </c>
      <c r="BM208" s="4" t="n">
        <f aca="false">'Data Input'!S111</f>
        <v>0</v>
      </c>
      <c r="BN208" s="4" t="n">
        <f aca="false">'Data Input'!Y111</f>
        <v>18</v>
      </c>
      <c r="BO208" s="4" t="n">
        <f aca="false">IF($BM208&gt;=1,-999,MAX(($C$1-$A$1)*24,IF($BK208&lt;&gt;"",$BI208,$BP208-'Data Input'!E111)))</f>
        <v>52</v>
      </c>
      <c r="BP208" s="4" t="n">
        <f aca="false">('Data Input'!D111+'Data Input'!Y111/24-$A$1)*24</f>
        <v>56</v>
      </c>
    </row>
    <row r="209" customFormat="false" ht="11.25" hidden="false" customHeight="true" outlineLevel="0" collapsed="false">
      <c r="A209" s="34" t="n">
        <f aca="false">'Data Input'!A112</f>
        <v>26</v>
      </c>
      <c r="B209" s="35" t="str">
        <f aca="false">'Data Input'!B112</f>
        <v>Finishing (grinding, stamp, UT, inspection)</v>
      </c>
      <c r="C209" s="36" t="str">
        <f aca="false">'Data Input'!O112</f>
        <v>Not Started</v>
      </c>
      <c r="D209" s="37" t="n">
        <f aca="false">'Data Input'!D112</f>
        <v>46312.625</v>
      </c>
      <c r="E209" s="38" t="n">
        <f aca="false">'Data Input'!D112+'Data Input'!Y112/24</f>
        <v>46313.375</v>
      </c>
      <c r="F209" s="39" t="n">
        <f aca="false">'Data Input'!Y112</f>
        <v>18</v>
      </c>
      <c r="G209" s="40" t="n">
        <f aca="false">'Data Input'!T112</f>
        <v>0</v>
      </c>
      <c r="H209" s="41" t="n">
        <f aca="false">'Data Input'!S112</f>
        <v>0</v>
      </c>
      <c r="I209" s="21"/>
      <c r="J209" s="42" t="s">
        <v>27</v>
      </c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H209" s="4" t="n">
        <f aca="false">('Data Input'!C112-$A$1)*24</f>
        <v>38</v>
      </c>
      <c r="BI209" s="4" t="n">
        <f aca="false">('Data Input'!D112-$A$1)*24</f>
        <v>39</v>
      </c>
      <c r="BJ209" s="0" t="n">
        <v>1</v>
      </c>
      <c r="BO209" s="0" t="n">
        <v>-999</v>
      </c>
      <c r="BP209" s="0" t="n">
        <v>-999</v>
      </c>
    </row>
    <row r="210" customFormat="false" ht="11.25" hidden="false" customHeight="true" outlineLevel="0" collapsed="false">
      <c r="A210" s="34"/>
      <c r="B210" s="34"/>
      <c r="C210" s="36"/>
      <c r="D210" s="37"/>
      <c r="E210" s="37"/>
      <c r="F210" s="39"/>
      <c r="G210" s="40"/>
      <c r="H210" s="40"/>
      <c r="I210" s="40"/>
      <c r="J210" s="42" t="s">
        <v>28</v>
      </c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H210" s="4" t="n">
        <f aca="false">IF($BK210="",-999,($BK210-$A$1)*24)</f>
        <v>-999</v>
      </c>
      <c r="BI210" s="4" t="n">
        <f aca="false">IF($BK210="",-999,(IF($BL210&lt;&gt;"",$BL210,IF($C$1&gt;$BK210,$C$1,$BK210+MAX('Data Input'!E112*$BM210,0.5)/24))-$A$1)*24)</f>
        <v>-999</v>
      </c>
      <c r="BJ210" s="4" t="n">
        <f aca="false">IF($BK210="",0,IF($BM210&gt;=1,IF($BN210&lt;=0,2,3),IF($BN210&lt;=0,4,5)))</f>
        <v>0</v>
      </c>
      <c r="BK210" s="0" t="str">
        <f aca="false">IF('Data Input'!Q112="","",'Data Input'!Q112)</f>
        <v/>
      </c>
      <c r="BL210" s="0" t="str">
        <f aca="false">IF('Data Input'!R112="","",'Data Input'!R112)</f>
        <v/>
      </c>
      <c r="BM210" s="4" t="n">
        <f aca="false">'Data Input'!S112</f>
        <v>0</v>
      </c>
      <c r="BN210" s="4" t="n">
        <f aca="false">'Data Input'!Y112</f>
        <v>18</v>
      </c>
      <c r="BO210" s="4" t="n">
        <f aca="false">IF($BM210&gt;=1,-999,MAX(($C$1-$A$1)*24,IF($BK210&lt;&gt;"",$BI210,$BP210-'Data Input'!E112)))</f>
        <v>56</v>
      </c>
      <c r="BP210" s="4" t="n">
        <f aca="false">('Data Input'!D112+'Data Input'!Y112/24-$A$1)*24</f>
        <v>57</v>
      </c>
    </row>
    <row r="211" customFormat="false" ht="21" hidden="false" customHeight="true" outlineLevel="0" collapsed="false">
      <c r="A211" s="45" t="str">
        <f aca="false">"  TOTAL  -  "&amp;'Data Input'!$B$17</f>
        <v>  TOTAL  -  C267  –  KM 212+400</v>
      </c>
      <c r="B211" s="45"/>
      <c r="C211" s="46" t="str">
        <f aca="false">C15</f>
        <v>AT RISK</v>
      </c>
      <c r="D211" s="24" t="n">
        <f aca="false">D15</f>
        <v>46312.625</v>
      </c>
      <c r="E211" s="24" t="n">
        <f aca="false">E15</f>
        <v>46313.375</v>
      </c>
      <c r="F211" s="25" t="n">
        <f aca="false">F15</f>
        <v>18</v>
      </c>
      <c r="G211" s="47" t="n">
        <f aca="false">G15</f>
        <v>0.487804878048781</v>
      </c>
      <c r="H211" s="48" t="n">
        <f aca="false">H15</f>
        <v>0</v>
      </c>
      <c r="I211" s="49" t="n">
        <f aca="false">I15</f>
        <v>-9</v>
      </c>
      <c r="J211" s="50"/>
      <c r="K211" s="51" t="str">
        <f aca="false">"TOTAL  "&amp;TEXT(SUM('Data Input'!E87:E112),"0.0")&amp;" activity hours          Possession elapsed  "&amp;TEXT(MEDIAN(0,($C$1-$A$1)*24,($B$1-$A$1)*24),"0.0")&amp;"  of  "&amp;TEXT(($B$1-$A$1)*24,"0.0")&amp;" h          Report cut-off  "&amp;TEXT($C$1,"ddd dd-mmm hh:mm")</f>
        <v>TOTAL  41.0 activity hours          Possession elapsed  18.0  of  48.0 h          Report cut-off  Fri 16-Oct 18:00</v>
      </c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</row>
    <row r="212" customFormat="false" ht="15.75" hidden="false" customHeight="true" outlineLevel="0" collapsed="false">
      <c r="A212" s="52"/>
      <c r="B212" s="53" t="s">
        <v>29</v>
      </c>
      <c r="C212" s="53"/>
      <c r="D212" s="54" t="s">
        <v>30</v>
      </c>
      <c r="E212" s="54"/>
      <c r="F212" s="54"/>
      <c r="G212" s="54" t="s">
        <v>31</v>
      </c>
      <c r="H212" s="54"/>
      <c r="I212" s="54"/>
      <c r="O212" s="55"/>
      <c r="P212" s="53" t="s">
        <v>32</v>
      </c>
      <c r="Q212" s="53"/>
      <c r="R212" s="53"/>
      <c r="S212" s="53"/>
      <c r="T212" s="53"/>
      <c r="U212" s="53"/>
      <c r="V212" s="53"/>
      <c r="X212" s="56"/>
      <c r="Y212" s="53" t="s">
        <v>33</v>
      </c>
      <c r="Z212" s="53"/>
      <c r="AA212" s="53"/>
      <c r="AB212" s="53"/>
      <c r="AC212" s="53"/>
      <c r="AD212" s="53"/>
      <c r="AE212" s="53"/>
      <c r="AG212" s="57"/>
      <c r="AH212" s="53" t="s">
        <v>34</v>
      </c>
      <c r="AI212" s="53"/>
      <c r="AJ212" s="53"/>
      <c r="AK212" s="53"/>
      <c r="AL212" s="53"/>
      <c r="AM212" s="53"/>
      <c r="AN212" s="53"/>
      <c r="AP212" s="58"/>
      <c r="AQ212" s="53" t="s">
        <v>35</v>
      </c>
      <c r="AR212" s="53"/>
      <c r="AS212" s="53"/>
      <c r="AT212" s="53"/>
      <c r="AU212" s="53"/>
      <c r="AV212" s="53"/>
      <c r="AW212" s="53"/>
      <c r="AY212" s="59"/>
      <c r="AZ212" s="53" t="s">
        <v>36</v>
      </c>
      <c r="BA212" s="53"/>
      <c r="BB212" s="53"/>
      <c r="BC212" s="53"/>
      <c r="BD212" s="53"/>
      <c r="BE212" s="53"/>
      <c r="BF212" s="53"/>
    </row>
    <row r="214" customFormat="false" ht="25.5" hidden="false" customHeight="true" outlineLevel="0" collapsed="false">
      <c r="A214" s="29" t="s">
        <v>39</v>
      </c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</row>
    <row r="215" customFormat="false" ht="21.75" hidden="false" customHeight="true" outlineLevel="0" collapsed="false">
      <c r="A215" s="30" t="str">
        <f aca="false">"   3 cells        ACTUAL  "&amp;TEXT(H16,"0%")&amp;"        PLANNED  "&amp;TEXT(G16,"0%")&amp;"        PLAN FINISH  "&amp;TEXT(D16,"ddd dd-mmm hh:mm")</f>
        <v>   3 cells        ACTUAL  0%        PLANNED  38%        PLAN FINISH  Sat 17-Oct 23:00</v>
      </c>
      <c r="B215" s="30"/>
      <c r="C215" s="30"/>
      <c r="D215" s="30"/>
      <c r="E215" s="30"/>
      <c r="F215" s="30"/>
      <c r="G215" s="30"/>
      <c r="H215" s="30"/>
      <c r="I215" s="30"/>
      <c r="K215" s="31" t="str">
        <f aca="false">C16&amp;"        FORECAST  "&amp;TEXT(E16,"ddd dd-mmm hh:mm")&amp;"        "&amp;TEXT(ABS(F16),"0.0")&amp;IF(F16&gt;0," h LATE",IF(F16&lt;0," h EARLY"," h"))</f>
        <v>AT RISK        FORECAST  Sun 18-Oct 17:00        18.0 h LATE</v>
      </c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</row>
    <row r="216" customFormat="false" ht="27.75" hidden="false" customHeight="true" outlineLevel="0" collapsed="false">
      <c r="A216" s="11" t="s">
        <v>24</v>
      </c>
      <c r="B216" s="11" t="s">
        <v>25</v>
      </c>
      <c r="C216" s="11" t="s">
        <v>8</v>
      </c>
      <c r="D216" s="11" t="s">
        <v>9</v>
      </c>
      <c r="E216" s="11" t="s">
        <v>10</v>
      </c>
      <c r="F216" s="11" t="s">
        <v>11</v>
      </c>
      <c r="G216" s="11" t="s">
        <v>12</v>
      </c>
      <c r="H216" s="11" t="s">
        <v>26</v>
      </c>
      <c r="I216" s="11" t="s">
        <v>14</v>
      </c>
      <c r="K216" s="32" t="str">
        <f aca="false">UPPER(TEXT($A$1+($D$1+0*$E$1)/24,"ddd  dd-mmm  hh:mm")&amp;"  to  "&amp;TEXT($A$1+($D$1+24*$E$1)/24,"ddd  dd-mmm  hh:mm"))</f>
        <v>FRI  16-OCT  00:00  TO  SAT  17-OCT  00:00</v>
      </c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 t="str">
        <f aca="false">UPPER(TEXT($A$1+($D$1+24*$E$1)/24,"ddd  dd-mmm  hh:mm")&amp;"  to  "&amp;TEXT($A$1+($D$1+48*$E$1)/24,"ddd  dd-mmm  hh:mm"))</f>
        <v>SAT  17-OCT  00:00  TO  SUN  18-OCT  00:00</v>
      </c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</row>
    <row r="217" customFormat="false" ht="15.75" hidden="false" customHeight="true" outlineLevel="0" collapsed="false">
      <c r="K217" s="33" t="str">
        <f aca="false">TEXT($A$1+($D$1+0*$E$1)/24,"hh:mm")&amp;" - "&amp;TEXT($A$1+($D$1+6*$E$1)/24,"hh:mm")</f>
        <v>00:00 - 06:00</v>
      </c>
      <c r="L217" s="33"/>
      <c r="M217" s="33"/>
      <c r="N217" s="33"/>
      <c r="O217" s="33"/>
      <c r="P217" s="33"/>
      <c r="Q217" s="33" t="str">
        <f aca="false">TEXT($A$1+($D$1+6*$E$1)/24,"hh:mm")&amp;" - "&amp;TEXT($A$1+($D$1+12*$E$1)/24,"hh:mm")</f>
        <v>06:00 - 12:00</v>
      </c>
      <c r="R217" s="33"/>
      <c r="S217" s="33"/>
      <c r="T217" s="33"/>
      <c r="U217" s="33"/>
      <c r="V217" s="33"/>
      <c r="W217" s="33" t="str">
        <f aca="false">TEXT($A$1+($D$1+12*$E$1)/24,"hh:mm")&amp;" - "&amp;TEXT($A$1+($D$1+18*$E$1)/24,"hh:mm")</f>
        <v>12:00 - 18:00</v>
      </c>
      <c r="X217" s="33"/>
      <c r="Y217" s="33"/>
      <c r="Z217" s="33"/>
      <c r="AA217" s="33"/>
      <c r="AB217" s="33"/>
      <c r="AC217" s="33" t="str">
        <f aca="false">TEXT($A$1+($D$1+18*$E$1)/24,"hh:mm")&amp;" - "&amp;TEXT($A$1+($D$1+24*$E$1)/24,"hh:mm")</f>
        <v>18:00 - 00:00</v>
      </c>
      <c r="AD217" s="33"/>
      <c r="AE217" s="33"/>
      <c r="AF217" s="33"/>
      <c r="AG217" s="33"/>
      <c r="AH217" s="33"/>
      <c r="AI217" s="33" t="str">
        <f aca="false">TEXT($A$1+($D$1+24*$E$1)/24,"hh:mm")&amp;" - "&amp;TEXT($A$1+($D$1+30*$E$1)/24,"hh:mm")</f>
        <v>00:00 - 06:00</v>
      </c>
      <c r="AJ217" s="33"/>
      <c r="AK217" s="33"/>
      <c r="AL217" s="33"/>
      <c r="AM217" s="33"/>
      <c r="AN217" s="33"/>
      <c r="AO217" s="33" t="str">
        <f aca="false">TEXT($A$1+($D$1+30*$E$1)/24,"hh:mm")&amp;" - "&amp;TEXT($A$1+($D$1+36*$E$1)/24,"hh:mm")</f>
        <v>06:00 - 12:00</v>
      </c>
      <c r="AP217" s="33"/>
      <c r="AQ217" s="33"/>
      <c r="AR217" s="33"/>
      <c r="AS217" s="33"/>
      <c r="AT217" s="33"/>
      <c r="AU217" s="33" t="str">
        <f aca="false">TEXT($A$1+($D$1+36*$E$1)/24,"hh:mm")&amp;" - "&amp;TEXT($A$1+($D$1+42*$E$1)/24,"hh:mm")</f>
        <v>12:00 - 18:00</v>
      </c>
      <c r="AV217" s="33"/>
      <c r="AW217" s="33"/>
      <c r="AX217" s="33"/>
      <c r="AY217" s="33"/>
      <c r="AZ217" s="33"/>
      <c r="BA217" s="33" t="str">
        <f aca="false">TEXT($A$1+($D$1+42*$E$1)/24,"hh:mm")&amp;" - "&amp;TEXT($A$1+($D$1+48*$E$1)/24,"hh:mm")</f>
        <v>18:00 - 00:00</v>
      </c>
      <c r="BB217" s="33"/>
      <c r="BC217" s="33"/>
      <c r="BD217" s="33"/>
      <c r="BE217" s="33"/>
      <c r="BF217" s="33"/>
    </row>
    <row r="218" customFormat="false" ht="11.25" hidden="false" customHeight="true" outlineLevel="0" collapsed="false">
      <c r="A218" s="34" t="n">
        <f aca="false">'Data Input'!A117</f>
        <v>1</v>
      </c>
      <c r="B218" s="35" t="str">
        <f aca="false">'Data Input'!B117</f>
        <v>OTMP moves from station 35 to main Line 1</v>
      </c>
      <c r="C218" s="36" t="str">
        <f aca="false">'Data Input'!O117</f>
        <v>NOT STARTED - LATE</v>
      </c>
      <c r="D218" s="37" t="n">
        <f aca="false">'Data Input'!D117</f>
        <v>46311.0416666667</v>
      </c>
      <c r="E218" s="38" t="n">
        <f aca="false">'Data Input'!D117+'Data Input'!Y117/24</f>
        <v>46311.7916666667</v>
      </c>
      <c r="F218" s="39" t="n">
        <f aca="false">'Data Input'!Y117</f>
        <v>18</v>
      </c>
      <c r="G218" s="40" t="n">
        <f aca="false">'Data Input'!T117</f>
        <v>1</v>
      </c>
      <c r="H218" s="41" t="n">
        <f aca="false">'Data Input'!S117</f>
        <v>0</v>
      </c>
      <c r="I218" s="21"/>
      <c r="J218" s="42" t="s">
        <v>27</v>
      </c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H218" s="4" t="n">
        <f aca="false">('Data Input'!C117-$A$1)*24</f>
        <v>0</v>
      </c>
      <c r="BI218" s="4" t="n">
        <f aca="false">('Data Input'!D117-$A$1)*24</f>
        <v>1</v>
      </c>
      <c r="BJ218" s="0" t="n">
        <v>1</v>
      </c>
      <c r="BO218" s="0" t="n">
        <v>-999</v>
      </c>
      <c r="BP218" s="0" t="n">
        <v>-999</v>
      </c>
    </row>
    <row r="219" customFormat="false" ht="11.25" hidden="false" customHeight="true" outlineLevel="0" collapsed="false">
      <c r="A219" s="34"/>
      <c r="B219" s="34"/>
      <c r="C219" s="36"/>
      <c r="D219" s="37"/>
      <c r="E219" s="37"/>
      <c r="F219" s="39"/>
      <c r="G219" s="40"/>
      <c r="H219" s="40"/>
      <c r="I219" s="40"/>
      <c r="J219" s="42" t="s">
        <v>28</v>
      </c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H219" s="4" t="n">
        <f aca="false">IF($BK219="",-999,($BK219-$A$1)*24)</f>
        <v>-999</v>
      </c>
      <c r="BI219" s="4" t="n">
        <f aca="false">IF($BK219="",-999,(IF($BL219&lt;&gt;"",$BL219,IF($C$1&gt;$BK219,$C$1,$BK219+MAX('Data Input'!E117*$BM219,0.5)/24))-$A$1)*24)</f>
        <v>-999</v>
      </c>
      <c r="BJ219" s="4" t="n">
        <f aca="false">IF($BK219="",0,IF($BM219&gt;=1,IF($BN219&lt;=0,2,3),IF($BN219&lt;=0,4,5)))</f>
        <v>0</v>
      </c>
      <c r="BK219" s="0" t="str">
        <f aca="false">IF('Data Input'!Q117="","",'Data Input'!Q117)</f>
        <v/>
      </c>
      <c r="BL219" s="0" t="str">
        <f aca="false">IF('Data Input'!R117="","",'Data Input'!R117)</f>
        <v/>
      </c>
      <c r="BM219" s="4" t="n">
        <f aca="false">'Data Input'!S117</f>
        <v>0</v>
      </c>
      <c r="BN219" s="4" t="n">
        <f aca="false">'Data Input'!Y117</f>
        <v>18</v>
      </c>
      <c r="BO219" s="4" t="n">
        <f aca="false">IF($BM219&gt;=1,-999,MAX(($C$1-$A$1)*24,IF($BK219&lt;&gt;"",$BI219,$BP219-'Data Input'!E117)))</f>
        <v>18</v>
      </c>
      <c r="BP219" s="4" t="n">
        <f aca="false">('Data Input'!D117+'Data Input'!Y117/24-$A$1)*24</f>
        <v>19</v>
      </c>
    </row>
    <row r="220" customFormat="false" ht="11.25" hidden="false" customHeight="true" outlineLevel="0" collapsed="false">
      <c r="A220" s="34" t="n">
        <f aca="false">'Data Input'!A118</f>
        <v>2</v>
      </c>
      <c r="B220" s="35" t="str">
        <f aca="false">'Data Input'!B118</f>
        <v>Track removal &amp; panel evacuation (Line 1)</v>
      </c>
      <c r="C220" s="36" t="str">
        <f aca="false">'Data Input'!O118</f>
        <v>NOT STARTED - LATE</v>
      </c>
      <c r="D220" s="37" t="n">
        <f aca="false">'Data Input'!D118</f>
        <v>46311.0833333333</v>
      </c>
      <c r="E220" s="38" t="n">
        <f aca="false">'Data Input'!D118+'Data Input'!Y118/24</f>
        <v>46311.8333333333</v>
      </c>
      <c r="F220" s="39" t="n">
        <f aca="false">'Data Input'!Y118</f>
        <v>18</v>
      </c>
      <c r="G220" s="40" t="n">
        <f aca="false">'Data Input'!T118</f>
        <v>1</v>
      </c>
      <c r="H220" s="41" t="n">
        <f aca="false">'Data Input'!S118</f>
        <v>0</v>
      </c>
      <c r="I220" s="21"/>
      <c r="J220" s="42" t="s">
        <v>27</v>
      </c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H220" s="4" t="n">
        <f aca="false">('Data Input'!C118-$A$1)*24</f>
        <v>1</v>
      </c>
      <c r="BI220" s="4" t="n">
        <f aca="false">('Data Input'!D118-$A$1)*24</f>
        <v>2</v>
      </c>
      <c r="BJ220" s="0" t="n">
        <v>1</v>
      </c>
      <c r="BO220" s="0" t="n">
        <v>-999</v>
      </c>
      <c r="BP220" s="0" t="n">
        <v>-999</v>
      </c>
    </row>
    <row r="221" customFormat="false" ht="11.25" hidden="false" customHeight="true" outlineLevel="0" collapsed="false">
      <c r="A221" s="34"/>
      <c r="B221" s="34"/>
      <c r="C221" s="36"/>
      <c r="D221" s="37"/>
      <c r="E221" s="37"/>
      <c r="F221" s="39"/>
      <c r="G221" s="40"/>
      <c r="H221" s="40"/>
      <c r="I221" s="40"/>
      <c r="J221" s="42" t="s">
        <v>28</v>
      </c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H221" s="4" t="n">
        <f aca="false">IF($BK221="",-999,($BK221-$A$1)*24)</f>
        <v>-999</v>
      </c>
      <c r="BI221" s="4" t="n">
        <f aca="false">IF($BK221="",-999,(IF($BL221&lt;&gt;"",$BL221,IF($C$1&gt;$BK221,$C$1,$BK221+MAX('Data Input'!E118*$BM221,0.5)/24))-$A$1)*24)</f>
        <v>-999</v>
      </c>
      <c r="BJ221" s="4" t="n">
        <f aca="false">IF($BK221="",0,IF($BM221&gt;=1,IF($BN221&lt;=0,2,3),IF($BN221&lt;=0,4,5)))</f>
        <v>0</v>
      </c>
      <c r="BK221" s="0" t="str">
        <f aca="false">IF('Data Input'!Q118="","",'Data Input'!Q118)</f>
        <v/>
      </c>
      <c r="BL221" s="0" t="str">
        <f aca="false">IF('Data Input'!R118="","",'Data Input'!R118)</f>
        <v/>
      </c>
      <c r="BM221" s="4" t="n">
        <f aca="false">'Data Input'!S118</f>
        <v>0</v>
      </c>
      <c r="BN221" s="4" t="n">
        <f aca="false">'Data Input'!Y118</f>
        <v>18</v>
      </c>
      <c r="BO221" s="4" t="n">
        <f aca="false">IF($BM221&gt;=1,-999,MAX(($C$1-$A$1)*24,IF($BK221&lt;&gt;"",$BI221,$BP221-'Data Input'!E118)))</f>
        <v>19</v>
      </c>
      <c r="BP221" s="4" t="n">
        <f aca="false">('Data Input'!D118+'Data Input'!Y118/24-$A$1)*24</f>
        <v>20</v>
      </c>
    </row>
    <row r="222" customFormat="false" ht="11.25" hidden="false" customHeight="true" outlineLevel="0" collapsed="false">
      <c r="A222" s="34" t="n">
        <f aca="false">'Data Input'!A119</f>
        <v>3</v>
      </c>
      <c r="B222" s="35" t="str">
        <f aca="false">'Data Input'!B119</f>
        <v>Track removal &amp; panel evacuation (Line 2)</v>
      </c>
      <c r="C222" s="36" t="str">
        <f aca="false">'Data Input'!O119</f>
        <v>NOT STARTED - LATE</v>
      </c>
      <c r="D222" s="37" t="n">
        <f aca="false">'Data Input'!D119</f>
        <v>46311.125</v>
      </c>
      <c r="E222" s="38" t="n">
        <f aca="false">'Data Input'!D119+'Data Input'!Y119/24</f>
        <v>46311.875</v>
      </c>
      <c r="F222" s="39" t="n">
        <f aca="false">'Data Input'!Y119</f>
        <v>18</v>
      </c>
      <c r="G222" s="40" t="n">
        <f aca="false">'Data Input'!T119</f>
        <v>1</v>
      </c>
      <c r="H222" s="41" t="n">
        <f aca="false">'Data Input'!S119</f>
        <v>0</v>
      </c>
      <c r="I222" s="21"/>
      <c r="J222" s="42" t="s">
        <v>27</v>
      </c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H222" s="4" t="n">
        <f aca="false">('Data Input'!C119-$A$1)*24</f>
        <v>2</v>
      </c>
      <c r="BI222" s="4" t="n">
        <f aca="false">('Data Input'!D119-$A$1)*24</f>
        <v>3</v>
      </c>
      <c r="BJ222" s="0" t="n">
        <v>1</v>
      </c>
      <c r="BO222" s="0" t="n">
        <v>-999</v>
      </c>
      <c r="BP222" s="0" t="n">
        <v>-999</v>
      </c>
    </row>
    <row r="223" customFormat="false" ht="11.25" hidden="false" customHeight="true" outlineLevel="0" collapsed="false">
      <c r="A223" s="34"/>
      <c r="B223" s="34"/>
      <c r="C223" s="36"/>
      <c r="D223" s="37"/>
      <c r="E223" s="37"/>
      <c r="F223" s="39"/>
      <c r="G223" s="40"/>
      <c r="H223" s="40"/>
      <c r="I223" s="40"/>
      <c r="J223" s="42" t="s">
        <v>28</v>
      </c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H223" s="4" t="n">
        <f aca="false">IF($BK223="",-999,($BK223-$A$1)*24)</f>
        <v>-999</v>
      </c>
      <c r="BI223" s="4" t="n">
        <f aca="false">IF($BK223="",-999,(IF($BL223&lt;&gt;"",$BL223,IF($C$1&gt;$BK223,$C$1,$BK223+MAX('Data Input'!E119*$BM223,0.5)/24))-$A$1)*24)</f>
        <v>-999</v>
      </c>
      <c r="BJ223" s="4" t="n">
        <f aca="false">IF($BK223="",0,IF($BM223&gt;=1,IF($BN223&lt;=0,2,3),IF($BN223&lt;=0,4,5)))</f>
        <v>0</v>
      </c>
      <c r="BK223" s="0" t="str">
        <f aca="false">IF('Data Input'!Q119="","",'Data Input'!Q119)</f>
        <v/>
      </c>
      <c r="BL223" s="0" t="str">
        <f aca="false">IF('Data Input'!R119="","",'Data Input'!R119)</f>
        <v/>
      </c>
      <c r="BM223" s="4" t="n">
        <f aca="false">'Data Input'!S119</f>
        <v>0</v>
      </c>
      <c r="BN223" s="4" t="n">
        <f aca="false">'Data Input'!Y119</f>
        <v>18</v>
      </c>
      <c r="BO223" s="4" t="n">
        <f aca="false">IF($BM223&gt;=1,-999,MAX(($C$1-$A$1)*24,IF($BK223&lt;&gt;"",$BI223,$BP223-'Data Input'!E119)))</f>
        <v>20</v>
      </c>
      <c r="BP223" s="4" t="n">
        <f aca="false">('Data Input'!D119+'Data Input'!Y119/24-$A$1)*24</f>
        <v>21</v>
      </c>
    </row>
    <row r="224" customFormat="false" ht="11.25" hidden="false" customHeight="true" outlineLevel="0" collapsed="false">
      <c r="A224" s="34" t="n">
        <f aca="false">'Data Input'!A120</f>
        <v>4</v>
      </c>
      <c r="B224" s="35" t="str">
        <f aca="false">'Data Input'!B120</f>
        <v>Ballast removal</v>
      </c>
      <c r="C224" s="36" t="str">
        <f aca="false">'Data Input'!O120</f>
        <v>NOT STARTED - LATE</v>
      </c>
      <c r="D224" s="37" t="n">
        <f aca="false">'Data Input'!D120</f>
        <v>46311.1666666667</v>
      </c>
      <c r="E224" s="38" t="n">
        <f aca="false">'Data Input'!D120+'Data Input'!Y120/24</f>
        <v>46311.9166666667</v>
      </c>
      <c r="F224" s="39" t="n">
        <f aca="false">'Data Input'!Y120</f>
        <v>18</v>
      </c>
      <c r="G224" s="40" t="n">
        <f aca="false">'Data Input'!T120</f>
        <v>1</v>
      </c>
      <c r="H224" s="41" t="n">
        <f aca="false">'Data Input'!S120</f>
        <v>0</v>
      </c>
      <c r="I224" s="21"/>
      <c r="J224" s="42" t="s">
        <v>27</v>
      </c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H224" s="4" t="n">
        <f aca="false">('Data Input'!C120-$A$1)*24</f>
        <v>3</v>
      </c>
      <c r="BI224" s="4" t="n">
        <f aca="false">('Data Input'!D120-$A$1)*24</f>
        <v>4</v>
      </c>
      <c r="BJ224" s="0" t="n">
        <v>1</v>
      </c>
      <c r="BO224" s="0" t="n">
        <v>-999</v>
      </c>
      <c r="BP224" s="0" t="n">
        <v>-999</v>
      </c>
    </row>
    <row r="225" customFormat="false" ht="11.25" hidden="false" customHeight="true" outlineLevel="0" collapsed="false">
      <c r="A225" s="34"/>
      <c r="B225" s="34"/>
      <c r="C225" s="36"/>
      <c r="D225" s="37"/>
      <c r="E225" s="37"/>
      <c r="F225" s="39"/>
      <c r="G225" s="40"/>
      <c r="H225" s="40"/>
      <c r="I225" s="40"/>
      <c r="J225" s="42" t="s">
        <v>28</v>
      </c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H225" s="4" t="n">
        <f aca="false">IF($BK225="",-999,($BK225-$A$1)*24)</f>
        <v>-999</v>
      </c>
      <c r="BI225" s="4" t="n">
        <f aca="false">IF($BK225="",-999,(IF($BL225&lt;&gt;"",$BL225,IF($C$1&gt;$BK225,$C$1,$BK225+MAX('Data Input'!E120*$BM225,0.5)/24))-$A$1)*24)</f>
        <v>-999</v>
      </c>
      <c r="BJ225" s="4" t="n">
        <f aca="false">IF($BK225="",0,IF($BM225&gt;=1,IF($BN225&lt;=0,2,3),IF($BN225&lt;=0,4,5)))</f>
        <v>0</v>
      </c>
      <c r="BK225" s="0" t="str">
        <f aca="false">IF('Data Input'!Q120="","",'Data Input'!Q120)</f>
        <v/>
      </c>
      <c r="BL225" s="0" t="str">
        <f aca="false">IF('Data Input'!R120="","",'Data Input'!R120)</f>
        <v/>
      </c>
      <c r="BM225" s="4" t="n">
        <f aca="false">'Data Input'!S120</f>
        <v>0</v>
      </c>
      <c r="BN225" s="4" t="n">
        <f aca="false">'Data Input'!Y120</f>
        <v>18</v>
      </c>
      <c r="BO225" s="4" t="n">
        <f aca="false">IF($BM225&gt;=1,-999,MAX(($C$1-$A$1)*24,IF($BK225&lt;&gt;"",$BI225,$BP225-'Data Input'!E120)))</f>
        <v>21</v>
      </c>
      <c r="BP225" s="4" t="n">
        <f aca="false">('Data Input'!D120+'Data Input'!Y120/24-$A$1)*24</f>
        <v>22</v>
      </c>
    </row>
    <row r="226" customFormat="false" ht="11.25" hidden="false" customHeight="true" outlineLevel="0" collapsed="false">
      <c r="A226" s="34" t="n">
        <f aca="false">'Data Input'!A121</f>
        <v>5</v>
      </c>
      <c r="B226" s="35" t="str">
        <f aca="false">'Data Input'!B121</f>
        <v>Cutting &amp; removal around existing culvert</v>
      </c>
      <c r="C226" s="36" t="str">
        <f aca="false">'Data Input'!O121</f>
        <v>NOT STARTED - LATE</v>
      </c>
      <c r="D226" s="37" t="n">
        <f aca="false">'Data Input'!D121</f>
        <v>46311.2083333333</v>
      </c>
      <c r="E226" s="38" t="n">
        <f aca="false">'Data Input'!D121+'Data Input'!Y121/24</f>
        <v>46311.9583333333</v>
      </c>
      <c r="F226" s="39" t="n">
        <f aca="false">'Data Input'!Y121</f>
        <v>18</v>
      </c>
      <c r="G226" s="40" t="n">
        <f aca="false">'Data Input'!T121</f>
        <v>1</v>
      </c>
      <c r="H226" s="41" t="n">
        <f aca="false">'Data Input'!S121</f>
        <v>0</v>
      </c>
      <c r="I226" s="21"/>
      <c r="J226" s="42" t="s">
        <v>27</v>
      </c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H226" s="4" t="n">
        <f aca="false">('Data Input'!C121-$A$1)*24</f>
        <v>4</v>
      </c>
      <c r="BI226" s="4" t="n">
        <f aca="false">('Data Input'!D121-$A$1)*24</f>
        <v>5</v>
      </c>
      <c r="BJ226" s="0" t="n">
        <v>1</v>
      </c>
      <c r="BO226" s="0" t="n">
        <v>-999</v>
      </c>
      <c r="BP226" s="0" t="n">
        <v>-999</v>
      </c>
    </row>
    <row r="227" customFormat="false" ht="11.25" hidden="false" customHeight="true" outlineLevel="0" collapsed="false">
      <c r="A227" s="34"/>
      <c r="B227" s="34"/>
      <c r="C227" s="36"/>
      <c r="D227" s="37"/>
      <c r="E227" s="37"/>
      <c r="F227" s="39"/>
      <c r="G227" s="40"/>
      <c r="H227" s="40"/>
      <c r="I227" s="40"/>
      <c r="J227" s="42" t="s">
        <v>28</v>
      </c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H227" s="4" t="n">
        <f aca="false">IF($BK227="",-999,($BK227-$A$1)*24)</f>
        <v>-999</v>
      </c>
      <c r="BI227" s="4" t="n">
        <f aca="false">IF($BK227="",-999,(IF($BL227&lt;&gt;"",$BL227,IF($C$1&gt;$BK227,$C$1,$BK227+MAX('Data Input'!E121*$BM227,0.5)/24))-$A$1)*24)</f>
        <v>-999</v>
      </c>
      <c r="BJ227" s="4" t="n">
        <f aca="false">IF($BK227="",0,IF($BM227&gt;=1,IF($BN227&lt;=0,2,3),IF($BN227&lt;=0,4,5)))</f>
        <v>0</v>
      </c>
      <c r="BK227" s="0" t="str">
        <f aca="false">IF('Data Input'!Q121="","",'Data Input'!Q121)</f>
        <v/>
      </c>
      <c r="BL227" s="0" t="str">
        <f aca="false">IF('Data Input'!R121="","",'Data Input'!R121)</f>
        <v/>
      </c>
      <c r="BM227" s="4" t="n">
        <f aca="false">'Data Input'!S121</f>
        <v>0</v>
      </c>
      <c r="BN227" s="4" t="n">
        <f aca="false">'Data Input'!Y121</f>
        <v>18</v>
      </c>
      <c r="BO227" s="4" t="n">
        <f aca="false">IF($BM227&gt;=1,-999,MAX(($C$1-$A$1)*24,IF($BK227&lt;&gt;"",$BI227,$BP227-'Data Input'!E121)))</f>
        <v>22</v>
      </c>
      <c r="BP227" s="4" t="n">
        <f aca="false">('Data Input'!D121+'Data Input'!Y121/24-$A$1)*24</f>
        <v>23</v>
      </c>
    </row>
    <row r="228" customFormat="false" ht="11.25" hidden="false" customHeight="true" outlineLevel="0" collapsed="false">
      <c r="A228" s="34" t="n">
        <f aca="false">'Data Input'!A122</f>
        <v>6</v>
      </c>
      <c r="B228" s="35" t="str">
        <f aca="false">'Data Input'!B122</f>
        <v>Demolition of existing culvert</v>
      </c>
      <c r="C228" s="36" t="str">
        <f aca="false">'Data Input'!O122</f>
        <v>NOT STARTED - LATE</v>
      </c>
      <c r="D228" s="37" t="n">
        <f aca="false">'Data Input'!D122</f>
        <v>46311.2916666667</v>
      </c>
      <c r="E228" s="38" t="n">
        <f aca="false">'Data Input'!D122+'Data Input'!Y122/24</f>
        <v>46312.0416666667</v>
      </c>
      <c r="F228" s="39" t="n">
        <f aca="false">'Data Input'!Y122</f>
        <v>18</v>
      </c>
      <c r="G228" s="40" t="n">
        <f aca="false">'Data Input'!T122</f>
        <v>1</v>
      </c>
      <c r="H228" s="41" t="n">
        <f aca="false">'Data Input'!S122</f>
        <v>0</v>
      </c>
      <c r="I228" s="21"/>
      <c r="J228" s="42" t="s">
        <v>27</v>
      </c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H228" s="4" t="n">
        <f aca="false">('Data Input'!C122-$A$1)*24</f>
        <v>5</v>
      </c>
      <c r="BI228" s="4" t="n">
        <f aca="false">('Data Input'!D122-$A$1)*24</f>
        <v>7</v>
      </c>
      <c r="BJ228" s="0" t="n">
        <v>1</v>
      </c>
      <c r="BO228" s="0" t="n">
        <v>-999</v>
      </c>
      <c r="BP228" s="0" t="n">
        <v>-999</v>
      </c>
    </row>
    <row r="229" customFormat="false" ht="11.25" hidden="false" customHeight="true" outlineLevel="0" collapsed="false">
      <c r="A229" s="34"/>
      <c r="B229" s="34"/>
      <c r="C229" s="36"/>
      <c r="D229" s="37"/>
      <c r="E229" s="37"/>
      <c r="F229" s="39"/>
      <c r="G229" s="40"/>
      <c r="H229" s="40"/>
      <c r="I229" s="40"/>
      <c r="J229" s="42" t="s">
        <v>28</v>
      </c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H229" s="4" t="n">
        <f aca="false">IF($BK229="",-999,($BK229-$A$1)*24)</f>
        <v>-999</v>
      </c>
      <c r="BI229" s="4" t="n">
        <f aca="false">IF($BK229="",-999,(IF($BL229&lt;&gt;"",$BL229,IF($C$1&gt;$BK229,$C$1,$BK229+MAX('Data Input'!E122*$BM229,0.5)/24))-$A$1)*24)</f>
        <v>-999</v>
      </c>
      <c r="BJ229" s="4" t="n">
        <f aca="false">IF($BK229="",0,IF($BM229&gt;=1,IF($BN229&lt;=0,2,3),IF($BN229&lt;=0,4,5)))</f>
        <v>0</v>
      </c>
      <c r="BK229" s="0" t="str">
        <f aca="false">IF('Data Input'!Q122="","",'Data Input'!Q122)</f>
        <v/>
      </c>
      <c r="BL229" s="0" t="str">
        <f aca="false">IF('Data Input'!R122="","",'Data Input'!R122)</f>
        <v/>
      </c>
      <c r="BM229" s="4" t="n">
        <f aca="false">'Data Input'!S122</f>
        <v>0</v>
      </c>
      <c r="BN229" s="4" t="n">
        <f aca="false">'Data Input'!Y122</f>
        <v>18</v>
      </c>
      <c r="BO229" s="4" t="n">
        <f aca="false">IF($BM229&gt;=1,-999,MAX(($C$1-$A$1)*24,IF($BK229&lt;&gt;"",$BI229,$BP229-'Data Input'!E122)))</f>
        <v>23</v>
      </c>
      <c r="BP229" s="4" t="n">
        <f aca="false">('Data Input'!D122+'Data Input'!Y122/24-$A$1)*24</f>
        <v>25</v>
      </c>
    </row>
    <row r="230" customFormat="false" ht="11.25" hidden="false" customHeight="true" outlineLevel="0" collapsed="false">
      <c r="A230" s="34" t="n">
        <f aca="false">'Data Input'!A123</f>
        <v>7</v>
      </c>
      <c r="B230" s="35" t="str">
        <f aca="false">'Data Input'!B123</f>
        <v>Surface preparation for precast installation</v>
      </c>
      <c r="C230" s="36" t="str">
        <f aca="false">'Data Input'!O123</f>
        <v>NOT STARTED - LATE</v>
      </c>
      <c r="D230" s="37" t="n">
        <f aca="false">'Data Input'!D123</f>
        <v>46311.375</v>
      </c>
      <c r="E230" s="38" t="n">
        <f aca="false">'Data Input'!D123+'Data Input'!Y123/24</f>
        <v>46312.125</v>
      </c>
      <c r="F230" s="39" t="n">
        <f aca="false">'Data Input'!Y123</f>
        <v>18</v>
      </c>
      <c r="G230" s="40" t="n">
        <f aca="false">'Data Input'!T123</f>
        <v>1</v>
      </c>
      <c r="H230" s="41" t="n">
        <f aca="false">'Data Input'!S123</f>
        <v>0</v>
      </c>
      <c r="I230" s="21"/>
      <c r="J230" s="42" t="s">
        <v>27</v>
      </c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H230" s="4" t="n">
        <f aca="false">('Data Input'!C123-$A$1)*24</f>
        <v>7</v>
      </c>
      <c r="BI230" s="4" t="n">
        <f aca="false">('Data Input'!D123-$A$1)*24</f>
        <v>9</v>
      </c>
      <c r="BJ230" s="0" t="n">
        <v>1</v>
      </c>
      <c r="BO230" s="0" t="n">
        <v>-999</v>
      </c>
      <c r="BP230" s="0" t="n">
        <v>-999</v>
      </c>
    </row>
    <row r="231" customFormat="false" ht="11.25" hidden="false" customHeight="true" outlineLevel="0" collapsed="false">
      <c r="A231" s="34"/>
      <c r="B231" s="34"/>
      <c r="C231" s="36"/>
      <c r="D231" s="37"/>
      <c r="E231" s="37"/>
      <c r="F231" s="39"/>
      <c r="G231" s="40"/>
      <c r="H231" s="40"/>
      <c r="I231" s="40"/>
      <c r="J231" s="42" t="s">
        <v>28</v>
      </c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H231" s="4" t="n">
        <f aca="false">IF($BK231="",-999,($BK231-$A$1)*24)</f>
        <v>-999</v>
      </c>
      <c r="BI231" s="4" t="n">
        <f aca="false">IF($BK231="",-999,(IF($BL231&lt;&gt;"",$BL231,IF($C$1&gt;$BK231,$C$1,$BK231+MAX('Data Input'!E123*$BM231,0.5)/24))-$A$1)*24)</f>
        <v>-999</v>
      </c>
      <c r="BJ231" s="4" t="n">
        <f aca="false">IF($BK231="",0,IF($BM231&gt;=1,IF($BN231&lt;=0,2,3),IF($BN231&lt;=0,4,5)))</f>
        <v>0</v>
      </c>
      <c r="BK231" s="0" t="str">
        <f aca="false">IF('Data Input'!Q123="","",'Data Input'!Q123)</f>
        <v/>
      </c>
      <c r="BL231" s="0" t="str">
        <f aca="false">IF('Data Input'!R123="","",'Data Input'!R123)</f>
        <v/>
      </c>
      <c r="BM231" s="4" t="n">
        <f aca="false">'Data Input'!S123</f>
        <v>0</v>
      </c>
      <c r="BN231" s="4" t="n">
        <f aca="false">'Data Input'!Y123</f>
        <v>18</v>
      </c>
      <c r="BO231" s="4" t="n">
        <f aca="false">IF($BM231&gt;=1,-999,MAX(($C$1-$A$1)*24,IF($BK231&lt;&gt;"",$BI231,$BP231-'Data Input'!E123)))</f>
        <v>25</v>
      </c>
      <c r="BP231" s="4" t="n">
        <f aca="false">('Data Input'!D123+'Data Input'!Y123/24-$A$1)*24</f>
        <v>27</v>
      </c>
    </row>
    <row r="232" customFormat="false" ht="11.25" hidden="false" customHeight="true" outlineLevel="0" collapsed="false">
      <c r="A232" s="34" t="n">
        <f aca="false">'Data Input'!A124</f>
        <v>8</v>
      </c>
      <c r="B232" s="35" t="str">
        <f aca="false">'Data Input'!B124</f>
        <v>Installation of new precast culvert</v>
      </c>
      <c r="C232" s="36" t="str">
        <f aca="false">'Data Input'!O124</f>
        <v>NOT STARTED - LATE</v>
      </c>
      <c r="D232" s="37" t="n">
        <f aca="false">'Data Input'!D124</f>
        <v>46311.5</v>
      </c>
      <c r="E232" s="38" t="n">
        <f aca="false">'Data Input'!D124+'Data Input'!Y124/24</f>
        <v>46312.25</v>
      </c>
      <c r="F232" s="39" t="n">
        <f aca="false">'Data Input'!Y124</f>
        <v>18</v>
      </c>
      <c r="G232" s="40" t="n">
        <f aca="false">'Data Input'!T124</f>
        <v>1</v>
      </c>
      <c r="H232" s="41" t="n">
        <f aca="false">'Data Input'!S124</f>
        <v>0</v>
      </c>
      <c r="I232" s="21"/>
      <c r="J232" s="42" t="s">
        <v>27</v>
      </c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H232" s="4" t="n">
        <f aca="false">('Data Input'!C124-$A$1)*24</f>
        <v>9</v>
      </c>
      <c r="BI232" s="4" t="n">
        <f aca="false">('Data Input'!D124-$A$1)*24</f>
        <v>12</v>
      </c>
      <c r="BJ232" s="0" t="n">
        <v>1</v>
      </c>
      <c r="BO232" s="0" t="n">
        <v>-999</v>
      </c>
      <c r="BP232" s="0" t="n">
        <v>-999</v>
      </c>
    </row>
    <row r="233" customFormat="false" ht="11.25" hidden="false" customHeight="true" outlineLevel="0" collapsed="false">
      <c r="A233" s="34"/>
      <c r="B233" s="34"/>
      <c r="C233" s="36"/>
      <c r="D233" s="37"/>
      <c r="E233" s="37"/>
      <c r="F233" s="39"/>
      <c r="G233" s="40"/>
      <c r="H233" s="40"/>
      <c r="I233" s="40"/>
      <c r="J233" s="42" t="s">
        <v>28</v>
      </c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H233" s="4" t="n">
        <f aca="false">IF($BK233="",-999,($BK233-$A$1)*24)</f>
        <v>-999</v>
      </c>
      <c r="BI233" s="4" t="n">
        <f aca="false">IF($BK233="",-999,(IF($BL233&lt;&gt;"",$BL233,IF($C$1&gt;$BK233,$C$1,$BK233+MAX('Data Input'!E124*$BM233,0.5)/24))-$A$1)*24)</f>
        <v>-999</v>
      </c>
      <c r="BJ233" s="4" t="n">
        <f aca="false">IF($BK233="",0,IF($BM233&gt;=1,IF($BN233&lt;=0,2,3),IF($BN233&lt;=0,4,5)))</f>
        <v>0</v>
      </c>
      <c r="BK233" s="0" t="str">
        <f aca="false">IF('Data Input'!Q124="","",'Data Input'!Q124)</f>
        <v/>
      </c>
      <c r="BL233" s="0" t="str">
        <f aca="false">IF('Data Input'!R124="","",'Data Input'!R124)</f>
        <v/>
      </c>
      <c r="BM233" s="4" t="n">
        <f aca="false">'Data Input'!S124</f>
        <v>0</v>
      </c>
      <c r="BN233" s="4" t="n">
        <f aca="false">'Data Input'!Y124</f>
        <v>18</v>
      </c>
      <c r="BO233" s="4" t="n">
        <f aca="false">IF($BM233&gt;=1,-999,MAX(($C$1-$A$1)*24,IF($BK233&lt;&gt;"",$BI233,$BP233-'Data Input'!E124)))</f>
        <v>27</v>
      </c>
      <c r="BP233" s="4" t="n">
        <f aca="false">('Data Input'!D124+'Data Input'!Y124/24-$A$1)*24</f>
        <v>30</v>
      </c>
    </row>
    <row r="234" customFormat="false" ht="11.25" hidden="false" customHeight="true" outlineLevel="0" collapsed="false">
      <c r="A234" s="34" t="n">
        <f aca="false">'Data Input'!A125</f>
        <v>9</v>
      </c>
      <c r="B234" s="35" t="str">
        <f aca="false">'Data Input'!B125</f>
        <v>Apply sealant to the culvert</v>
      </c>
      <c r="C234" s="36" t="str">
        <f aca="false">'Data Input'!O125</f>
        <v>NOT STARTED - LATE</v>
      </c>
      <c r="D234" s="37" t="n">
        <f aca="false">'Data Input'!D125</f>
        <v>46311.5833333333</v>
      </c>
      <c r="E234" s="38" t="n">
        <f aca="false">'Data Input'!D125+'Data Input'!Y125/24</f>
        <v>46312.3333333333</v>
      </c>
      <c r="F234" s="39" t="n">
        <f aca="false">'Data Input'!Y125</f>
        <v>18</v>
      </c>
      <c r="G234" s="40" t="n">
        <f aca="false">'Data Input'!T125</f>
        <v>1</v>
      </c>
      <c r="H234" s="41" t="n">
        <f aca="false">'Data Input'!S125</f>
        <v>0</v>
      </c>
      <c r="I234" s="21"/>
      <c r="J234" s="42" t="s">
        <v>27</v>
      </c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H234" s="4" t="n">
        <f aca="false">('Data Input'!C125-$A$1)*24</f>
        <v>12</v>
      </c>
      <c r="BI234" s="4" t="n">
        <f aca="false">('Data Input'!D125-$A$1)*24</f>
        <v>14</v>
      </c>
      <c r="BJ234" s="0" t="n">
        <v>1</v>
      </c>
      <c r="BO234" s="0" t="n">
        <v>-999</v>
      </c>
      <c r="BP234" s="0" t="n">
        <v>-999</v>
      </c>
    </row>
    <row r="235" customFormat="false" ht="11.25" hidden="false" customHeight="true" outlineLevel="0" collapsed="false">
      <c r="A235" s="34"/>
      <c r="B235" s="34"/>
      <c r="C235" s="36"/>
      <c r="D235" s="37"/>
      <c r="E235" s="37"/>
      <c r="F235" s="39"/>
      <c r="G235" s="40"/>
      <c r="H235" s="40"/>
      <c r="I235" s="40"/>
      <c r="J235" s="42" t="s">
        <v>28</v>
      </c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H235" s="4" t="n">
        <f aca="false">IF($BK235="",-999,($BK235-$A$1)*24)</f>
        <v>-999</v>
      </c>
      <c r="BI235" s="4" t="n">
        <f aca="false">IF($BK235="",-999,(IF($BL235&lt;&gt;"",$BL235,IF($C$1&gt;$BK235,$C$1,$BK235+MAX('Data Input'!E125*$BM235,0.5)/24))-$A$1)*24)</f>
        <v>-999</v>
      </c>
      <c r="BJ235" s="4" t="n">
        <f aca="false">IF($BK235="",0,IF($BM235&gt;=1,IF($BN235&lt;=0,2,3),IF($BN235&lt;=0,4,5)))</f>
        <v>0</v>
      </c>
      <c r="BK235" s="0" t="str">
        <f aca="false">IF('Data Input'!Q125="","",'Data Input'!Q125)</f>
        <v/>
      </c>
      <c r="BL235" s="0" t="str">
        <f aca="false">IF('Data Input'!R125="","",'Data Input'!R125)</f>
        <v/>
      </c>
      <c r="BM235" s="4" t="n">
        <f aca="false">'Data Input'!S125</f>
        <v>0</v>
      </c>
      <c r="BN235" s="4" t="n">
        <f aca="false">'Data Input'!Y125</f>
        <v>18</v>
      </c>
      <c r="BO235" s="4" t="n">
        <f aca="false">IF($BM235&gt;=1,-999,MAX(($C$1-$A$1)*24,IF($BK235&lt;&gt;"",$BI235,$BP235-'Data Input'!E125)))</f>
        <v>30</v>
      </c>
      <c r="BP235" s="4" t="n">
        <f aca="false">('Data Input'!D125+'Data Input'!Y125/24-$A$1)*24</f>
        <v>32</v>
      </c>
    </row>
    <row r="236" customFormat="false" ht="11.25" hidden="false" customHeight="true" outlineLevel="0" collapsed="false">
      <c r="A236" s="34" t="n">
        <f aca="false">'Data Input'!A126</f>
        <v>10</v>
      </c>
      <c r="B236" s="35" t="str">
        <f aca="false">'Data Input'!B126</f>
        <v>Backfill around culvert to subgrade level</v>
      </c>
      <c r="C236" s="36" t="str">
        <f aca="false">'Data Input'!O126</f>
        <v>NOT STARTED - LATE</v>
      </c>
      <c r="D236" s="37" t="n">
        <f aca="false">'Data Input'!D126</f>
        <v>46311.7083333333</v>
      </c>
      <c r="E236" s="38" t="n">
        <f aca="false">'Data Input'!D126+'Data Input'!Y126/24</f>
        <v>46312.4583333333</v>
      </c>
      <c r="F236" s="39" t="n">
        <f aca="false">'Data Input'!Y126</f>
        <v>18</v>
      </c>
      <c r="G236" s="40" t="n">
        <f aca="false">'Data Input'!T126</f>
        <v>1</v>
      </c>
      <c r="H236" s="41" t="n">
        <f aca="false">'Data Input'!S126</f>
        <v>0</v>
      </c>
      <c r="I236" s="21"/>
      <c r="J236" s="42" t="s">
        <v>27</v>
      </c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H236" s="4" t="n">
        <f aca="false">('Data Input'!C126-$A$1)*24</f>
        <v>14</v>
      </c>
      <c r="BI236" s="4" t="n">
        <f aca="false">('Data Input'!D126-$A$1)*24</f>
        <v>17</v>
      </c>
      <c r="BJ236" s="0" t="n">
        <v>1</v>
      </c>
      <c r="BO236" s="0" t="n">
        <v>-999</v>
      </c>
      <c r="BP236" s="0" t="n">
        <v>-999</v>
      </c>
    </row>
    <row r="237" customFormat="false" ht="11.25" hidden="false" customHeight="true" outlineLevel="0" collapsed="false">
      <c r="A237" s="34"/>
      <c r="B237" s="34"/>
      <c r="C237" s="36"/>
      <c r="D237" s="37"/>
      <c r="E237" s="37"/>
      <c r="F237" s="39"/>
      <c r="G237" s="40"/>
      <c r="H237" s="40"/>
      <c r="I237" s="40"/>
      <c r="J237" s="42" t="s">
        <v>28</v>
      </c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H237" s="4" t="n">
        <f aca="false">IF($BK237="",-999,($BK237-$A$1)*24)</f>
        <v>-999</v>
      </c>
      <c r="BI237" s="4" t="n">
        <f aca="false">IF($BK237="",-999,(IF($BL237&lt;&gt;"",$BL237,IF($C$1&gt;$BK237,$C$1,$BK237+MAX('Data Input'!E126*$BM237,0.5)/24))-$A$1)*24)</f>
        <v>-999</v>
      </c>
      <c r="BJ237" s="4" t="n">
        <f aca="false">IF($BK237="",0,IF($BM237&gt;=1,IF($BN237&lt;=0,2,3),IF($BN237&lt;=0,4,5)))</f>
        <v>0</v>
      </c>
      <c r="BK237" s="0" t="str">
        <f aca="false">IF('Data Input'!Q126="","",'Data Input'!Q126)</f>
        <v/>
      </c>
      <c r="BL237" s="0" t="str">
        <f aca="false">IF('Data Input'!R126="","",'Data Input'!R126)</f>
        <v/>
      </c>
      <c r="BM237" s="4" t="n">
        <f aca="false">'Data Input'!S126</f>
        <v>0</v>
      </c>
      <c r="BN237" s="4" t="n">
        <f aca="false">'Data Input'!Y126</f>
        <v>18</v>
      </c>
      <c r="BO237" s="4" t="n">
        <f aca="false">IF($BM237&gt;=1,-999,MAX(($C$1-$A$1)*24,IF($BK237&lt;&gt;"",$BI237,$BP237-'Data Input'!E126)))</f>
        <v>32</v>
      </c>
      <c r="BP237" s="4" t="n">
        <f aca="false">('Data Input'!D126+'Data Input'!Y126/24-$A$1)*24</f>
        <v>35</v>
      </c>
    </row>
    <row r="238" customFormat="false" ht="11.25" hidden="false" customHeight="true" outlineLevel="0" collapsed="false">
      <c r="A238" s="34" t="n">
        <f aca="false">'Data Input'!A127</f>
        <v>11</v>
      </c>
      <c r="B238" s="35" t="str">
        <f aca="false">'Data Input'!B127</f>
        <v>Backfill Subgrade</v>
      </c>
      <c r="C238" s="36" t="str">
        <f aca="false">'Data Input'!O127</f>
        <v>NOT STARTED - LATE</v>
      </c>
      <c r="D238" s="37" t="n">
        <f aca="false">'Data Input'!D127</f>
        <v>46311.7916666667</v>
      </c>
      <c r="E238" s="38" t="n">
        <f aca="false">'Data Input'!D127+'Data Input'!Y127/24</f>
        <v>46312.5416666667</v>
      </c>
      <c r="F238" s="39" t="n">
        <f aca="false">'Data Input'!Y127</f>
        <v>18</v>
      </c>
      <c r="G238" s="40" t="n">
        <f aca="false">'Data Input'!T127</f>
        <v>0.5</v>
      </c>
      <c r="H238" s="41" t="n">
        <f aca="false">'Data Input'!S127</f>
        <v>0</v>
      </c>
      <c r="I238" s="21"/>
      <c r="J238" s="42" t="s">
        <v>27</v>
      </c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H238" s="4" t="n">
        <f aca="false">('Data Input'!C127-$A$1)*24</f>
        <v>17</v>
      </c>
      <c r="BI238" s="4" t="n">
        <f aca="false">('Data Input'!D127-$A$1)*24</f>
        <v>19</v>
      </c>
      <c r="BJ238" s="0" t="n">
        <v>1</v>
      </c>
      <c r="BO238" s="0" t="n">
        <v>-999</v>
      </c>
      <c r="BP238" s="0" t="n">
        <v>-999</v>
      </c>
    </row>
    <row r="239" customFormat="false" ht="11.25" hidden="false" customHeight="true" outlineLevel="0" collapsed="false">
      <c r="A239" s="34"/>
      <c r="B239" s="34"/>
      <c r="C239" s="36"/>
      <c r="D239" s="37"/>
      <c r="E239" s="37"/>
      <c r="F239" s="39"/>
      <c r="G239" s="40"/>
      <c r="H239" s="40"/>
      <c r="I239" s="40"/>
      <c r="J239" s="42" t="s">
        <v>28</v>
      </c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H239" s="4" t="n">
        <f aca="false">IF($BK239="",-999,($BK239-$A$1)*24)</f>
        <v>-999</v>
      </c>
      <c r="BI239" s="4" t="n">
        <f aca="false">IF($BK239="",-999,(IF($BL239&lt;&gt;"",$BL239,IF($C$1&gt;$BK239,$C$1,$BK239+MAX('Data Input'!E127*$BM239,0.5)/24))-$A$1)*24)</f>
        <v>-999</v>
      </c>
      <c r="BJ239" s="4" t="n">
        <f aca="false">IF($BK239="",0,IF($BM239&gt;=1,IF($BN239&lt;=0,2,3),IF($BN239&lt;=0,4,5)))</f>
        <v>0</v>
      </c>
      <c r="BK239" s="0" t="str">
        <f aca="false">IF('Data Input'!Q127="","",'Data Input'!Q127)</f>
        <v/>
      </c>
      <c r="BL239" s="0" t="str">
        <f aca="false">IF('Data Input'!R127="","",'Data Input'!R127)</f>
        <v/>
      </c>
      <c r="BM239" s="4" t="n">
        <f aca="false">'Data Input'!S127</f>
        <v>0</v>
      </c>
      <c r="BN239" s="4" t="n">
        <f aca="false">'Data Input'!Y127</f>
        <v>18</v>
      </c>
      <c r="BO239" s="4" t="n">
        <f aca="false">IF($BM239&gt;=1,-999,MAX(($C$1-$A$1)*24,IF($BK239&lt;&gt;"",$BI239,$BP239-'Data Input'!E127)))</f>
        <v>35</v>
      </c>
      <c r="BP239" s="4" t="n">
        <f aca="false">('Data Input'!D127+'Data Input'!Y127/24-$A$1)*24</f>
        <v>37</v>
      </c>
    </row>
    <row r="240" customFormat="false" ht="11.25" hidden="false" customHeight="true" outlineLevel="0" collapsed="false">
      <c r="A240" s="34" t="n">
        <f aca="false">'Data Input'!A128</f>
        <v>12</v>
      </c>
      <c r="B240" s="35" t="str">
        <f aca="false">'Data Input'!B128</f>
        <v>First layer of ballast (Line 1)</v>
      </c>
      <c r="C240" s="36" t="str">
        <f aca="false">'Data Input'!O128</f>
        <v>Not Started</v>
      </c>
      <c r="D240" s="37" t="n">
        <f aca="false">'Data Input'!D128</f>
        <v>46311.8333333333</v>
      </c>
      <c r="E240" s="38" t="n">
        <f aca="false">'Data Input'!D128+'Data Input'!Y128/24</f>
        <v>46312.5833333333</v>
      </c>
      <c r="F240" s="39" t="n">
        <f aca="false">'Data Input'!Y128</f>
        <v>18</v>
      </c>
      <c r="G240" s="40" t="n">
        <f aca="false">'Data Input'!T128</f>
        <v>0</v>
      </c>
      <c r="H240" s="41" t="n">
        <f aca="false">'Data Input'!S128</f>
        <v>0</v>
      </c>
      <c r="I240" s="21"/>
      <c r="J240" s="42" t="s">
        <v>27</v>
      </c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H240" s="4" t="n">
        <f aca="false">('Data Input'!C128-$A$1)*24</f>
        <v>19</v>
      </c>
      <c r="BI240" s="4" t="n">
        <f aca="false">('Data Input'!D128-$A$1)*24</f>
        <v>20</v>
      </c>
      <c r="BJ240" s="0" t="n">
        <v>1</v>
      </c>
      <c r="BO240" s="0" t="n">
        <v>-999</v>
      </c>
      <c r="BP240" s="0" t="n">
        <v>-999</v>
      </c>
    </row>
    <row r="241" customFormat="false" ht="11.25" hidden="false" customHeight="true" outlineLevel="0" collapsed="false">
      <c r="A241" s="34"/>
      <c r="B241" s="34"/>
      <c r="C241" s="36"/>
      <c r="D241" s="37"/>
      <c r="E241" s="37"/>
      <c r="F241" s="39"/>
      <c r="G241" s="40"/>
      <c r="H241" s="40"/>
      <c r="I241" s="40"/>
      <c r="J241" s="42" t="s">
        <v>28</v>
      </c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H241" s="4" t="n">
        <f aca="false">IF($BK241="",-999,($BK241-$A$1)*24)</f>
        <v>-999</v>
      </c>
      <c r="BI241" s="4" t="n">
        <f aca="false">IF($BK241="",-999,(IF($BL241&lt;&gt;"",$BL241,IF($C$1&gt;$BK241,$C$1,$BK241+MAX('Data Input'!E128*$BM241,0.5)/24))-$A$1)*24)</f>
        <v>-999</v>
      </c>
      <c r="BJ241" s="4" t="n">
        <f aca="false">IF($BK241="",0,IF($BM241&gt;=1,IF($BN241&lt;=0,2,3),IF($BN241&lt;=0,4,5)))</f>
        <v>0</v>
      </c>
      <c r="BK241" s="0" t="str">
        <f aca="false">IF('Data Input'!Q128="","",'Data Input'!Q128)</f>
        <v/>
      </c>
      <c r="BL241" s="0" t="str">
        <f aca="false">IF('Data Input'!R128="","",'Data Input'!R128)</f>
        <v/>
      </c>
      <c r="BM241" s="4" t="n">
        <f aca="false">'Data Input'!S128</f>
        <v>0</v>
      </c>
      <c r="BN241" s="4" t="n">
        <f aca="false">'Data Input'!Y128</f>
        <v>18</v>
      </c>
      <c r="BO241" s="4" t="n">
        <f aca="false">IF($BM241&gt;=1,-999,MAX(($C$1-$A$1)*24,IF($BK241&lt;&gt;"",$BI241,$BP241-'Data Input'!E128)))</f>
        <v>37</v>
      </c>
      <c r="BP241" s="4" t="n">
        <f aca="false">('Data Input'!D128+'Data Input'!Y128/24-$A$1)*24</f>
        <v>38</v>
      </c>
    </row>
    <row r="242" customFormat="false" ht="11.25" hidden="false" customHeight="true" outlineLevel="0" collapsed="false">
      <c r="A242" s="34" t="n">
        <f aca="false">'Data Input'!A129</f>
        <v>13</v>
      </c>
      <c r="B242" s="35" t="str">
        <f aca="false">'Data Input'!B129</f>
        <v>First layer of ballast (Line 3)</v>
      </c>
      <c r="C242" s="36" t="str">
        <f aca="false">'Data Input'!O129</f>
        <v>Not Started</v>
      </c>
      <c r="D242" s="37" t="n">
        <f aca="false">'Data Input'!D129</f>
        <v>46311.875</v>
      </c>
      <c r="E242" s="38" t="n">
        <f aca="false">'Data Input'!D129+'Data Input'!Y129/24</f>
        <v>46312.625</v>
      </c>
      <c r="F242" s="39" t="n">
        <f aca="false">'Data Input'!Y129</f>
        <v>18</v>
      </c>
      <c r="G242" s="40" t="n">
        <f aca="false">'Data Input'!T129</f>
        <v>0</v>
      </c>
      <c r="H242" s="41" t="n">
        <f aca="false">'Data Input'!S129</f>
        <v>0</v>
      </c>
      <c r="I242" s="21"/>
      <c r="J242" s="42" t="s">
        <v>27</v>
      </c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H242" s="4" t="n">
        <f aca="false">('Data Input'!C129-$A$1)*24</f>
        <v>20</v>
      </c>
      <c r="BI242" s="4" t="n">
        <f aca="false">('Data Input'!D129-$A$1)*24</f>
        <v>21</v>
      </c>
      <c r="BJ242" s="0" t="n">
        <v>1</v>
      </c>
      <c r="BO242" s="0" t="n">
        <v>-999</v>
      </c>
      <c r="BP242" s="0" t="n">
        <v>-999</v>
      </c>
    </row>
    <row r="243" customFormat="false" ht="11.25" hidden="false" customHeight="true" outlineLevel="0" collapsed="false">
      <c r="A243" s="34"/>
      <c r="B243" s="34"/>
      <c r="C243" s="36"/>
      <c r="D243" s="37"/>
      <c r="E243" s="37"/>
      <c r="F243" s="39"/>
      <c r="G243" s="40"/>
      <c r="H243" s="40"/>
      <c r="I243" s="40"/>
      <c r="J243" s="42" t="s">
        <v>28</v>
      </c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H243" s="4" t="n">
        <f aca="false">IF($BK243="",-999,($BK243-$A$1)*24)</f>
        <v>-999</v>
      </c>
      <c r="BI243" s="4" t="n">
        <f aca="false">IF($BK243="",-999,(IF($BL243&lt;&gt;"",$BL243,IF($C$1&gt;$BK243,$C$1,$BK243+MAX('Data Input'!E129*$BM243,0.5)/24))-$A$1)*24)</f>
        <v>-999</v>
      </c>
      <c r="BJ243" s="4" t="n">
        <f aca="false">IF($BK243="",0,IF($BM243&gt;=1,IF($BN243&lt;=0,2,3),IF($BN243&lt;=0,4,5)))</f>
        <v>0</v>
      </c>
      <c r="BK243" s="0" t="str">
        <f aca="false">IF('Data Input'!Q129="","",'Data Input'!Q129)</f>
        <v/>
      </c>
      <c r="BL243" s="0" t="str">
        <f aca="false">IF('Data Input'!R129="","",'Data Input'!R129)</f>
        <v/>
      </c>
      <c r="BM243" s="4" t="n">
        <f aca="false">'Data Input'!S129</f>
        <v>0</v>
      </c>
      <c r="BN243" s="4" t="n">
        <f aca="false">'Data Input'!Y129</f>
        <v>18</v>
      </c>
      <c r="BO243" s="4" t="n">
        <f aca="false">IF($BM243&gt;=1,-999,MAX(($C$1-$A$1)*24,IF($BK243&lt;&gt;"",$BI243,$BP243-'Data Input'!E129)))</f>
        <v>38</v>
      </c>
      <c r="BP243" s="4" t="n">
        <f aca="false">('Data Input'!D129+'Data Input'!Y129/24-$A$1)*24</f>
        <v>39</v>
      </c>
    </row>
    <row r="244" customFormat="false" ht="11.25" hidden="false" customHeight="true" outlineLevel="0" collapsed="false">
      <c r="A244" s="34" t="n">
        <f aca="false">'Data Input'!A130</f>
        <v>14</v>
      </c>
      <c r="B244" s="35" t="str">
        <f aca="false">'Data Input'!B130</f>
        <v>Track installation (Line 1)</v>
      </c>
      <c r="C244" s="36" t="str">
        <f aca="false">'Data Input'!O130</f>
        <v>Not Started</v>
      </c>
      <c r="D244" s="37" t="n">
        <f aca="false">'Data Input'!D130</f>
        <v>46311.9166666667</v>
      </c>
      <c r="E244" s="38" t="n">
        <f aca="false">'Data Input'!D130+'Data Input'!Y130/24</f>
        <v>46312.6666666667</v>
      </c>
      <c r="F244" s="39" t="n">
        <f aca="false">'Data Input'!Y130</f>
        <v>18</v>
      </c>
      <c r="G244" s="40" t="n">
        <f aca="false">'Data Input'!T130</f>
        <v>0</v>
      </c>
      <c r="H244" s="41" t="n">
        <f aca="false">'Data Input'!S130</f>
        <v>0</v>
      </c>
      <c r="I244" s="21"/>
      <c r="J244" s="42" t="s">
        <v>27</v>
      </c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H244" s="4" t="n">
        <f aca="false">('Data Input'!C130-$A$1)*24</f>
        <v>21</v>
      </c>
      <c r="BI244" s="4" t="n">
        <f aca="false">('Data Input'!D130-$A$1)*24</f>
        <v>22</v>
      </c>
      <c r="BJ244" s="0" t="n">
        <v>1</v>
      </c>
      <c r="BO244" s="0" t="n">
        <v>-999</v>
      </c>
      <c r="BP244" s="0" t="n">
        <v>-999</v>
      </c>
    </row>
    <row r="245" customFormat="false" ht="11.25" hidden="false" customHeight="true" outlineLevel="0" collapsed="false">
      <c r="A245" s="34"/>
      <c r="B245" s="34"/>
      <c r="C245" s="36"/>
      <c r="D245" s="37"/>
      <c r="E245" s="37"/>
      <c r="F245" s="39"/>
      <c r="G245" s="40"/>
      <c r="H245" s="40"/>
      <c r="I245" s="40"/>
      <c r="J245" s="42" t="s">
        <v>28</v>
      </c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H245" s="4" t="n">
        <f aca="false">IF($BK245="",-999,($BK245-$A$1)*24)</f>
        <v>-999</v>
      </c>
      <c r="BI245" s="4" t="n">
        <f aca="false">IF($BK245="",-999,(IF($BL245&lt;&gt;"",$BL245,IF($C$1&gt;$BK245,$C$1,$BK245+MAX('Data Input'!E130*$BM245,0.5)/24))-$A$1)*24)</f>
        <v>-999</v>
      </c>
      <c r="BJ245" s="4" t="n">
        <f aca="false">IF($BK245="",0,IF($BM245&gt;=1,IF($BN245&lt;=0,2,3),IF($BN245&lt;=0,4,5)))</f>
        <v>0</v>
      </c>
      <c r="BK245" s="0" t="str">
        <f aca="false">IF('Data Input'!Q130="","",'Data Input'!Q130)</f>
        <v/>
      </c>
      <c r="BL245" s="0" t="str">
        <f aca="false">IF('Data Input'!R130="","",'Data Input'!R130)</f>
        <v/>
      </c>
      <c r="BM245" s="4" t="n">
        <f aca="false">'Data Input'!S130</f>
        <v>0</v>
      </c>
      <c r="BN245" s="4" t="n">
        <f aca="false">'Data Input'!Y130</f>
        <v>18</v>
      </c>
      <c r="BO245" s="4" t="n">
        <f aca="false">IF($BM245&gt;=1,-999,MAX(($C$1-$A$1)*24,IF($BK245&lt;&gt;"",$BI245,$BP245-'Data Input'!E130)))</f>
        <v>39</v>
      </c>
      <c r="BP245" s="4" t="n">
        <f aca="false">('Data Input'!D130+'Data Input'!Y130/24-$A$1)*24</f>
        <v>40</v>
      </c>
    </row>
    <row r="246" customFormat="false" ht="11.25" hidden="false" customHeight="true" outlineLevel="0" collapsed="false">
      <c r="A246" s="34" t="n">
        <f aca="false">'Data Input'!A131</f>
        <v>15</v>
      </c>
      <c r="B246" s="35" t="str">
        <f aca="false">'Data Input'!B131</f>
        <v>Track installation (Line 3)</v>
      </c>
      <c r="C246" s="36" t="str">
        <f aca="false">'Data Input'!O131</f>
        <v>Not Started</v>
      </c>
      <c r="D246" s="37" t="n">
        <f aca="false">'Data Input'!D131</f>
        <v>46311.9583333333</v>
      </c>
      <c r="E246" s="38" t="n">
        <f aca="false">'Data Input'!D131+'Data Input'!Y131/24</f>
        <v>46312.7083333333</v>
      </c>
      <c r="F246" s="39" t="n">
        <f aca="false">'Data Input'!Y131</f>
        <v>18</v>
      </c>
      <c r="G246" s="40" t="n">
        <f aca="false">'Data Input'!T131</f>
        <v>0</v>
      </c>
      <c r="H246" s="41" t="n">
        <f aca="false">'Data Input'!S131</f>
        <v>0</v>
      </c>
      <c r="I246" s="21"/>
      <c r="J246" s="42" t="s">
        <v>27</v>
      </c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H246" s="4" t="n">
        <f aca="false">('Data Input'!C131-$A$1)*24</f>
        <v>22</v>
      </c>
      <c r="BI246" s="4" t="n">
        <f aca="false">('Data Input'!D131-$A$1)*24</f>
        <v>23</v>
      </c>
      <c r="BJ246" s="0" t="n">
        <v>1</v>
      </c>
      <c r="BO246" s="0" t="n">
        <v>-999</v>
      </c>
      <c r="BP246" s="0" t="n">
        <v>-999</v>
      </c>
    </row>
    <row r="247" customFormat="false" ht="11.25" hidden="false" customHeight="true" outlineLevel="0" collapsed="false">
      <c r="A247" s="34"/>
      <c r="B247" s="34"/>
      <c r="C247" s="36"/>
      <c r="D247" s="37"/>
      <c r="E247" s="37"/>
      <c r="F247" s="39"/>
      <c r="G247" s="40"/>
      <c r="H247" s="40"/>
      <c r="I247" s="40"/>
      <c r="J247" s="42" t="s">
        <v>28</v>
      </c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H247" s="4" t="n">
        <f aca="false">IF($BK247="",-999,($BK247-$A$1)*24)</f>
        <v>-999</v>
      </c>
      <c r="BI247" s="4" t="n">
        <f aca="false">IF($BK247="",-999,(IF($BL247&lt;&gt;"",$BL247,IF($C$1&gt;$BK247,$C$1,$BK247+MAX('Data Input'!E131*$BM247,0.5)/24))-$A$1)*24)</f>
        <v>-999</v>
      </c>
      <c r="BJ247" s="4" t="n">
        <f aca="false">IF($BK247="",0,IF($BM247&gt;=1,IF($BN247&lt;=0,2,3),IF($BN247&lt;=0,4,5)))</f>
        <v>0</v>
      </c>
      <c r="BK247" s="0" t="str">
        <f aca="false">IF('Data Input'!Q131="","",'Data Input'!Q131)</f>
        <v/>
      </c>
      <c r="BL247" s="0" t="str">
        <f aca="false">IF('Data Input'!R131="","",'Data Input'!R131)</f>
        <v/>
      </c>
      <c r="BM247" s="4" t="n">
        <f aca="false">'Data Input'!S131</f>
        <v>0</v>
      </c>
      <c r="BN247" s="4" t="n">
        <f aca="false">'Data Input'!Y131</f>
        <v>18</v>
      </c>
      <c r="BO247" s="4" t="n">
        <f aca="false">IF($BM247&gt;=1,-999,MAX(($C$1-$A$1)*24,IF($BK247&lt;&gt;"",$BI247,$BP247-'Data Input'!E131)))</f>
        <v>40</v>
      </c>
      <c r="BP247" s="4" t="n">
        <f aca="false">('Data Input'!D131+'Data Input'!Y131/24-$A$1)*24</f>
        <v>41</v>
      </c>
    </row>
    <row r="248" customFormat="false" ht="11.25" hidden="false" customHeight="true" outlineLevel="0" collapsed="false">
      <c r="A248" s="34" t="n">
        <f aca="false">'Data Input'!A132</f>
        <v>16</v>
      </c>
      <c r="B248" s="35" t="str">
        <f aca="false">'Data Input'!B132</f>
        <v>1st &amp; 2nd Ballasting / Tamping (Line 1)</v>
      </c>
      <c r="C248" s="36" t="str">
        <f aca="false">'Data Input'!O132</f>
        <v>Not Started</v>
      </c>
      <c r="D248" s="37" t="n">
        <f aca="false">'Data Input'!D132</f>
        <v>46312</v>
      </c>
      <c r="E248" s="38" t="n">
        <f aca="false">'Data Input'!D132+'Data Input'!Y132/24</f>
        <v>46312.75</v>
      </c>
      <c r="F248" s="39" t="n">
        <f aca="false">'Data Input'!Y132</f>
        <v>18</v>
      </c>
      <c r="G248" s="40" t="n">
        <f aca="false">'Data Input'!T132</f>
        <v>0</v>
      </c>
      <c r="H248" s="41" t="n">
        <f aca="false">'Data Input'!S132</f>
        <v>0</v>
      </c>
      <c r="I248" s="21"/>
      <c r="J248" s="42" t="s">
        <v>27</v>
      </c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H248" s="4" t="n">
        <f aca="false">('Data Input'!C132-$A$1)*24</f>
        <v>23</v>
      </c>
      <c r="BI248" s="4" t="n">
        <f aca="false">('Data Input'!D132-$A$1)*24</f>
        <v>24</v>
      </c>
      <c r="BJ248" s="0" t="n">
        <v>1</v>
      </c>
      <c r="BO248" s="0" t="n">
        <v>-999</v>
      </c>
      <c r="BP248" s="0" t="n">
        <v>-999</v>
      </c>
    </row>
    <row r="249" customFormat="false" ht="11.25" hidden="false" customHeight="true" outlineLevel="0" collapsed="false">
      <c r="A249" s="34"/>
      <c r="B249" s="34"/>
      <c r="C249" s="36"/>
      <c r="D249" s="37"/>
      <c r="E249" s="37"/>
      <c r="F249" s="39"/>
      <c r="G249" s="40"/>
      <c r="H249" s="40"/>
      <c r="I249" s="40"/>
      <c r="J249" s="42" t="s">
        <v>28</v>
      </c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H249" s="4" t="n">
        <f aca="false">IF($BK249="",-999,($BK249-$A$1)*24)</f>
        <v>-999</v>
      </c>
      <c r="BI249" s="4" t="n">
        <f aca="false">IF($BK249="",-999,(IF($BL249&lt;&gt;"",$BL249,IF($C$1&gt;$BK249,$C$1,$BK249+MAX('Data Input'!E132*$BM249,0.5)/24))-$A$1)*24)</f>
        <v>-999</v>
      </c>
      <c r="BJ249" s="4" t="n">
        <f aca="false">IF($BK249="",0,IF($BM249&gt;=1,IF($BN249&lt;=0,2,3),IF($BN249&lt;=0,4,5)))</f>
        <v>0</v>
      </c>
      <c r="BK249" s="0" t="str">
        <f aca="false">IF('Data Input'!Q132="","",'Data Input'!Q132)</f>
        <v/>
      </c>
      <c r="BL249" s="0" t="str">
        <f aca="false">IF('Data Input'!R132="","",'Data Input'!R132)</f>
        <v/>
      </c>
      <c r="BM249" s="4" t="n">
        <f aca="false">'Data Input'!S132</f>
        <v>0</v>
      </c>
      <c r="BN249" s="4" t="n">
        <f aca="false">'Data Input'!Y132</f>
        <v>18</v>
      </c>
      <c r="BO249" s="4" t="n">
        <f aca="false">IF($BM249&gt;=1,-999,MAX(($C$1-$A$1)*24,IF($BK249&lt;&gt;"",$BI249,$BP249-'Data Input'!E132)))</f>
        <v>41</v>
      </c>
      <c r="BP249" s="4" t="n">
        <f aca="false">('Data Input'!D132+'Data Input'!Y132/24-$A$1)*24</f>
        <v>42</v>
      </c>
    </row>
    <row r="250" customFormat="false" ht="11.25" hidden="false" customHeight="true" outlineLevel="0" collapsed="false">
      <c r="A250" s="34" t="n">
        <f aca="false">'Data Input'!A133</f>
        <v>17</v>
      </c>
      <c r="B250" s="35" t="str">
        <f aca="false">'Data Input'!B133</f>
        <v>Final Ballasting / Tamping (Line 1)</v>
      </c>
      <c r="C250" s="36" t="str">
        <f aca="false">'Data Input'!O133</f>
        <v>Not Started</v>
      </c>
      <c r="D250" s="37" t="n">
        <f aca="false">'Data Input'!D133</f>
        <v>46312.0416666667</v>
      </c>
      <c r="E250" s="38" t="n">
        <f aca="false">'Data Input'!D133+'Data Input'!Y133/24</f>
        <v>46312.7916666667</v>
      </c>
      <c r="F250" s="39" t="n">
        <f aca="false">'Data Input'!Y133</f>
        <v>18</v>
      </c>
      <c r="G250" s="40" t="n">
        <f aca="false">'Data Input'!T133</f>
        <v>0</v>
      </c>
      <c r="H250" s="41" t="n">
        <f aca="false">'Data Input'!S133</f>
        <v>0</v>
      </c>
      <c r="I250" s="21"/>
      <c r="J250" s="42" t="s">
        <v>27</v>
      </c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H250" s="4" t="n">
        <f aca="false">('Data Input'!C133-$A$1)*24</f>
        <v>24</v>
      </c>
      <c r="BI250" s="4" t="n">
        <f aca="false">('Data Input'!D133-$A$1)*24</f>
        <v>25</v>
      </c>
      <c r="BJ250" s="0" t="n">
        <v>1</v>
      </c>
      <c r="BO250" s="0" t="n">
        <v>-999</v>
      </c>
      <c r="BP250" s="0" t="n">
        <v>-999</v>
      </c>
    </row>
    <row r="251" customFormat="false" ht="11.25" hidden="false" customHeight="true" outlineLevel="0" collapsed="false">
      <c r="A251" s="34"/>
      <c r="B251" s="34"/>
      <c r="C251" s="36"/>
      <c r="D251" s="37"/>
      <c r="E251" s="37"/>
      <c r="F251" s="39"/>
      <c r="G251" s="40"/>
      <c r="H251" s="40"/>
      <c r="I251" s="40"/>
      <c r="J251" s="42" t="s">
        <v>28</v>
      </c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H251" s="4" t="n">
        <f aca="false">IF($BK251="",-999,($BK251-$A$1)*24)</f>
        <v>-999</v>
      </c>
      <c r="BI251" s="4" t="n">
        <f aca="false">IF($BK251="",-999,(IF($BL251&lt;&gt;"",$BL251,IF($C$1&gt;$BK251,$C$1,$BK251+MAX('Data Input'!E133*$BM251,0.5)/24))-$A$1)*24)</f>
        <v>-999</v>
      </c>
      <c r="BJ251" s="4" t="n">
        <f aca="false">IF($BK251="",0,IF($BM251&gt;=1,IF($BN251&lt;=0,2,3),IF($BN251&lt;=0,4,5)))</f>
        <v>0</v>
      </c>
      <c r="BK251" s="0" t="str">
        <f aca="false">IF('Data Input'!Q133="","",'Data Input'!Q133)</f>
        <v/>
      </c>
      <c r="BL251" s="0" t="str">
        <f aca="false">IF('Data Input'!R133="","",'Data Input'!R133)</f>
        <v/>
      </c>
      <c r="BM251" s="4" t="n">
        <f aca="false">'Data Input'!S133</f>
        <v>0</v>
      </c>
      <c r="BN251" s="4" t="n">
        <f aca="false">'Data Input'!Y133</f>
        <v>18</v>
      </c>
      <c r="BO251" s="4" t="n">
        <f aca="false">IF($BM251&gt;=1,-999,MAX(($C$1-$A$1)*24,IF($BK251&lt;&gt;"",$BI251,$BP251-'Data Input'!E133)))</f>
        <v>42</v>
      </c>
      <c r="BP251" s="4" t="n">
        <f aca="false">('Data Input'!D133+'Data Input'!Y133/24-$A$1)*24</f>
        <v>43</v>
      </c>
    </row>
    <row r="252" customFormat="false" ht="11.25" hidden="false" customHeight="true" outlineLevel="0" collapsed="false">
      <c r="A252" s="34" t="n">
        <f aca="false">'Data Input'!A134</f>
        <v>18</v>
      </c>
      <c r="B252" s="35" t="str">
        <f aca="false">'Data Input'!B134</f>
        <v>OTMP moves from line 1 to line 3 (passing by Station 33)</v>
      </c>
      <c r="C252" s="36" t="str">
        <f aca="false">'Data Input'!O134</f>
        <v>Not Started</v>
      </c>
      <c r="D252" s="37" t="n">
        <f aca="false">'Data Input'!D134</f>
        <v>46312.125</v>
      </c>
      <c r="E252" s="38" t="n">
        <f aca="false">'Data Input'!D134+'Data Input'!Y134/24</f>
        <v>46312.875</v>
      </c>
      <c r="F252" s="39" t="n">
        <f aca="false">'Data Input'!Y134</f>
        <v>18</v>
      </c>
      <c r="G252" s="40" t="n">
        <f aca="false">'Data Input'!T134</f>
        <v>0</v>
      </c>
      <c r="H252" s="41" t="n">
        <f aca="false">'Data Input'!S134</f>
        <v>0</v>
      </c>
      <c r="I252" s="21"/>
      <c r="J252" s="42" t="s">
        <v>27</v>
      </c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H252" s="4" t="n">
        <f aca="false">('Data Input'!C134-$A$1)*24</f>
        <v>25</v>
      </c>
      <c r="BI252" s="4" t="n">
        <f aca="false">('Data Input'!D134-$A$1)*24</f>
        <v>27</v>
      </c>
      <c r="BJ252" s="0" t="n">
        <v>1</v>
      </c>
      <c r="BO252" s="0" t="n">
        <v>-999</v>
      </c>
      <c r="BP252" s="0" t="n">
        <v>-999</v>
      </c>
    </row>
    <row r="253" customFormat="false" ht="11.25" hidden="false" customHeight="true" outlineLevel="0" collapsed="false">
      <c r="A253" s="34"/>
      <c r="B253" s="34"/>
      <c r="C253" s="36"/>
      <c r="D253" s="37"/>
      <c r="E253" s="37"/>
      <c r="F253" s="39"/>
      <c r="G253" s="40"/>
      <c r="H253" s="40"/>
      <c r="I253" s="40"/>
      <c r="J253" s="42" t="s">
        <v>28</v>
      </c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H253" s="4" t="n">
        <f aca="false">IF($BK253="",-999,($BK253-$A$1)*24)</f>
        <v>-999</v>
      </c>
      <c r="BI253" s="4" t="n">
        <f aca="false">IF($BK253="",-999,(IF($BL253&lt;&gt;"",$BL253,IF($C$1&gt;$BK253,$C$1,$BK253+MAX('Data Input'!E134*$BM253,0.5)/24))-$A$1)*24)</f>
        <v>-999</v>
      </c>
      <c r="BJ253" s="4" t="n">
        <f aca="false">IF($BK253="",0,IF($BM253&gt;=1,IF($BN253&lt;=0,2,3),IF($BN253&lt;=0,4,5)))</f>
        <v>0</v>
      </c>
      <c r="BK253" s="0" t="str">
        <f aca="false">IF('Data Input'!Q134="","",'Data Input'!Q134)</f>
        <v/>
      </c>
      <c r="BL253" s="0" t="str">
        <f aca="false">IF('Data Input'!R134="","",'Data Input'!R134)</f>
        <v/>
      </c>
      <c r="BM253" s="4" t="n">
        <f aca="false">'Data Input'!S134</f>
        <v>0</v>
      </c>
      <c r="BN253" s="4" t="n">
        <f aca="false">'Data Input'!Y134</f>
        <v>18</v>
      </c>
      <c r="BO253" s="4" t="n">
        <f aca="false">IF($BM253&gt;=1,-999,MAX(($C$1-$A$1)*24,IF($BK253&lt;&gt;"",$BI253,$BP253-'Data Input'!E134)))</f>
        <v>43</v>
      </c>
      <c r="BP253" s="4" t="n">
        <f aca="false">('Data Input'!D134+'Data Input'!Y134/24-$A$1)*24</f>
        <v>45</v>
      </c>
    </row>
    <row r="254" customFormat="false" ht="11.25" hidden="false" customHeight="true" outlineLevel="0" collapsed="false">
      <c r="A254" s="34" t="n">
        <f aca="false">'Data Input'!A135</f>
        <v>19</v>
      </c>
      <c r="B254" s="35" t="str">
        <f aca="false">'Data Input'!B135</f>
        <v>ATW – 2U (out of destressing) (Line 1)</v>
      </c>
      <c r="C254" s="36" t="str">
        <f aca="false">'Data Input'!O135</f>
        <v>Not Started</v>
      </c>
      <c r="D254" s="37" t="n">
        <f aca="false">'Data Input'!D135</f>
        <v>46312.2083333333</v>
      </c>
      <c r="E254" s="38" t="n">
        <f aca="false">'Data Input'!D135+'Data Input'!Y135/24</f>
        <v>46312.9583333333</v>
      </c>
      <c r="F254" s="39" t="n">
        <f aca="false">'Data Input'!Y135</f>
        <v>18</v>
      </c>
      <c r="G254" s="40" t="n">
        <f aca="false">'Data Input'!T135</f>
        <v>0</v>
      </c>
      <c r="H254" s="41" t="n">
        <f aca="false">'Data Input'!S135</f>
        <v>0</v>
      </c>
      <c r="I254" s="21"/>
      <c r="J254" s="42" t="s">
        <v>27</v>
      </c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H254" s="4" t="n">
        <f aca="false">('Data Input'!C135-$A$1)*24</f>
        <v>27</v>
      </c>
      <c r="BI254" s="4" t="n">
        <f aca="false">('Data Input'!D135-$A$1)*24</f>
        <v>29</v>
      </c>
      <c r="BJ254" s="0" t="n">
        <v>1</v>
      </c>
      <c r="BO254" s="0" t="n">
        <v>-999</v>
      </c>
      <c r="BP254" s="0" t="n">
        <v>-999</v>
      </c>
    </row>
    <row r="255" customFormat="false" ht="11.25" hidden="false" customHeight="true" outlineLevel="0" collapsed="false">
      <c r="A255" s="34"/>
      <c r="B255" s="34"/>
      <c r="C255" s="36"/>
      <c r="D255" s="37"/>
      <c r="E255" s="37"/>
      <c r="F255" s="39"/>
      <c r="G255" s="40"/>
      <c r="H255" s="40"/>
      <c r="I255" s="40"/>
      <c r="J255" s="42" t="s">
        <v>28</v>
      </c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H255" s="4" t="n">
        <f aca="false">IF($BK255="",-999,($BK255-$A$1)*24)</f>
        <v>-999</v>
      </c>
      <c r="BI255" s="4" t="n">
        <f aca="false">IF($BK255="",-999,(IF($BL255&lt;&gt;"",$BL255,IF($C$1&gt;$BK255,$C$1,$BK255+MAX('Data Input'!E135*$BM255,0.5)/24))-$A$1)*24)</f>
        <v>-999</v>
      </c>
      <c r="BJ255" s="4" t="n">
        <f aca="false">IF($BK255="",0,IF($BM255&gt;=1,IF($BN255&lt;=0,2,3),IF($BN255&lt;=0,4,5)))</f>
        <v>0</v>
      </c>
      <c r="BK255" s="0" t="str">
        <f aca="false">IF('Data Input'!Q135="","",'Data Input'!Q135)</f>
        <v/>
      </c>
      <c r="BL255" s="0" t="str">
        <f aca="false">IF('Data Input'!R135="","",'Data Input'!R135)</f>
        <v/>
      </c>
      <c r="BM255" s="4" t="n">
        <f aca="false">'Data Input'!S135</f>
        <v>0</v>
      </c>
      <c r="BN255" s="4" t="n">
        <f aca="false">'Data Input'!Y135</f>
        <v>18</v>
      </c>
      <c r="BO255" s="4" t="n">
        <f aca="false">IF($BM255&gt;=1,-999,MAX(($C$1-$A$1)*24,IF($BK255&lt;&gt;"",$BI255,$BP255-'Data Input'!E135)))</f>
        <v>45</v>
      </c>
      <c r="BP255" s="4" t="n">
        <f aca="false">('Data Input'!D135+'Data Input'!Y135/24-$A$1)*24</f>
        <v>47</v>
      </c>
    </row>
    <row r="256" customFormat="false" ht="11.25" hidden="false" customHeight="true" outlineLevel="0" collapsed="false">
      <c r="A256" s="34" t="n">
        <f aca="false">'Data Input'!A136</f>
        <v>20</v>
      </c>
      <c r="B256" s="35" t="str">
        <f aca="false">'Data Input'!B136</f>
        <v>ATW – 2U (out of destressing) (Line 3)</v>
      </c>
      <c r="C256" s="36" t="str">
        <f aca="false">'Data Input'!O136</f>
        <v>Not Started</v>
      </c>
      <c r="D256" s="37" t="n">
        <f aca="false">'Data Input'!D136</f>
        <v>46312.2916666667</v>
      </c>
      <c r="E256" s="38" t="n">
        <f aca="false">'Data Input'!D136+'Data Input'!Y136/24</f>
        <v>46313.0416666667</v>
      </c>
      <c r="F256" s="39" t="n">
        <f aca="false">'Data Input'!Y136</f>
        <v>18</v>
      </c>
      <c r="G256" s="40" t="n">
        <f aca="false">'Data Input'!T136</f>
        <v>0</v>
      </c>
      <c r="H256" s="41" t="n">
        <f aca="false">'Data Input'!S136</f>
        <v>0</v>
      </c>
      <c r="I256" s="21"/>
      <c r="J256" s="42" t="s">
        <v>27</v>
      </c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H256" s="4" t="n">
        <f aca="false">('Data Input'!C136-$A$1)*24</f>
        <v>29</v>
      </c>
      <c r="BI256" s="4" t="n">
        <f aca="false">('Data Input'!D136-$A$1)*24</f>
        <v>31</v>
      </c>
      <c r="BJ256" s="0" t="n">
        <v>1</v>
      </c>
      <c r="BO256" s="0" t="n">
        <v>-999</v>
      </c>
      <c r="BP256" s="0" t="n">
        <v>-999</v>
      </c>
    </row>
    <row r="257" customFormat="false" ht="11.25" hidden="false" customHeight="true" outlineLevel="0" collapsed="false">
      <c r="A257" s="34"/>
      <c r="B257" s="34"/>
      <c r="C257" s="36"/>
      <c r="D257" s="37"/>
      <c r="E257" s="37"/>
      <c r="F257" s="39"/>
      <c r="G257" s="40"/>
      <c r="H257" s="40"/>
      <c r="I257" s="40"/>
      <c r="J257" s="42" t="s">
        <v>28</v>
      </c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H257" s="4" t="n">
        <f aca="false">IF($BK257="",-999,($BK257-$A$1)*24)</f>
        <v>-999</v>
      </c>
      <c r="BI257" s="4" t="n">
        <f aca="false">IF($BK257="",-999,(IF($BL257&lt;&gt;"",$BL257,IF($C$1&gt;$BK257,$C$1,$BK257+MAX('Data Input'!E136*$BM257,0.5)/24))-$A$1)*24)</f>
        <v>-999</v>
      </c>
      <c r="BJ257" s="4" t="n">
        <f aca="false">IF($BK257="",0,IF($BM257&gt;=1,IF($BN257&lt;=0,2,3),IF($BN257&lt;=0,4,5)))</f>
        <v>0</v>
      </c>
      <c r="BK257" s="0" t="str">
        <f aca="false">IF('Data Input'!Q136="","",'Data Input'!Q136)</f>
        <v/>
      </c>
      <c r="BL257" s="0" t="str">
        <f aca="false">IF('Data Input'!R136="","",'Data Input'!R136)</f>
        <v/>
      </c>
      <c r="BM257" s="4" t="n">
        <f aca="false">'Data Input'!S136</f>
        <v>0</v>
      </c>
      <c r="BN257" s="4" t="n">
        <f aca="false">'Data Input'!Y136</f>
        <v>18</v>
      </c>
      <c r="BO257" s="4" t="n">
        <f aca="false">IF($BM257&gt;=1,-999,MAX(($C$1-$A$1)*24,IF($BK257&lt;&gt;"",$BI257,$BP257-'Data Input'!E136)))</f>
        <v>47</v>
      </c>
      <c r="BP257" s="4" t="n">
        <f aca="false">('Data Input'!D136+'Data Input'!Y136/24-$A$1)*24</f>
        <v>49</v>
      </c>
    </row>
    <row r="258" customFormat="false" ht="11.25" hidden="false" customHeight="true" outlineLevel="0" collapsed="false">
      <c r="A258" s="34" t="n">
        <f aca="false">'Data Input'!A137</f>
        <v>21</v>
      </c>
      <c r="B258" s="35" t="str">
        <f aca="false">'Data Input'!B137</f>
        <v>1st &amp; 2nd Ballasting / Tamping (Line 3)</v>
      </c>
      <c r="C258" s="36" t="str">
        <f aca="false">'Data Input'!O137</f>
        <v>Not Started</v>
      </c>
      <c r="D258" s="37" t="n">
        <f aca="false">'Data Input'!D137</f>
        <v>46312.3333333333</v>
      </c>
      <c r="E258" s="38" t="n">
        <f aca="false">'Data Input'!D137+'Data Input'!Y137/24</f>
        <v>46313.0833333333</v>
      </c>
      <c r="F258" s="39" t="n">
        <f aca="false">'Data Input'!Y137</f>
        <v>18</v>
      </c>
      <c r="G258" s="40" t="n">
        <f aca="false">'Data Input'!T137</f>
        <v>0</v>
      </c>
      <c r="H258" s="41" t="n">
        <f aca="false">'Data Input'!S137</f>
        <v>0</v>
      </c>
      <c r="I258" s="21"/>
      <c r="J258" s="42" t="s">
        <v>27</v>
      </c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H258" s="4" t="n">
        <f aca="false">('Data Input'!C137-$A$1)*24</f>
        <v>31</v>
      </c>
      <c r="BI258" s="4" t="n">
        <f aca="false">('Data Input'!D137-$A$1)*24</f>
        <v>32</v>
      </c>
      <c r="BJ258" s="0" t="n">
        <v>1</v>
      </c>
      <c r="BO258" s="0" t="n">
        <v>-999</v>
      </c>
      <c r="BP258" s="0" t="n">
        <v>-999</v>
      </c>
    </row>
    <row r="259" customFormat="false" ht="11.25" hidden="false" customHeight="true" outlineLevel="0" collapsed="false">
      <c r="A259" s="34"/>
      <c r="B259" s="34"/>
      <c r="C259" s="36"/>
      <c r="D259" s="37"/>
      <c r="E259" s="37"/>
      <c r="F259" s="39"/>
      <c r="G259" s="40"/>
      <c r="H259" s="40"/>
      <c r="I259" s="40"/>
      <c r="J259" s="42" t="s">
        <v>28</v>
      </c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H259" s="4" t="n">
        <f aca="false">IF($BK259="",-999,($BK259-$A$1)*24)</f>
        <v>-999</v>
      </c>
      <c r="BI259" s="4" t="n">
        <f aca="false">IF($BK259="",-999,(IF($BL259&lt;&gt;"",$BL259,IF($C$1&gt;$BK259,$C$1,$BK259+MAX('Data Input'!E137*$BM259,0.5)/24))-$A$1)*24)</f>
        <v>-999</v>
      </c>
      <c r="BJ259" s="4" t="n">
        <f aca="false">IF($BK259="",0,IF($BM259&gt;=1,IF($BN259&lt;=0,2,3),IF($BN259&lt;=0,4,5)))</f>
        <v>0</v>
      </c>
      <c r="BK259" s="0" t="str">
        <f aca="false">IF('Data Input'!Q137="","",'Data Input'!Q137)</f>
        <v/>
      </c>
      <c r="BL259" s="0" t="str">
        <f aca="false">IF('Data Input'!R137="","",'Data Input'!R137)</f>
        <v/>
      </c>
      <c r="BM259" s="4" t="n">
        <f aca="false">'Data Input'!S137</f>
        <v>0</v>
      </c>
      <c r="BN259" s="4" t="n">
        <f aca="false">'Data Input'!Y137</f>
        <v>18</v>
      </c>
      <c r="BO259" s="4" t="n">
        <f aca="false">IF($BM259&gt;=1,-999,MAX(($C$1-$A$1)*24,IF($BK259&lt;&gt;"",$BI259,$BP259-'Data Input'!E137)))</f>
        <v>49</v>
      </c>
      <c r="BP259" s="4" t="n">
        <f aca="false">('Data Input'!D137+'Data Input'!Y137/24-$A$1)*24</f>
        <v>50</v>
      </c>
    </row>
    <row r="260" customFormat="false" ht="11.25" hidden="false" customHeight="true" outlineLevel="0" collapsed="false">
      <c r="A260" s="34" t="n">
        <f aca="false">'Data Input'!A138</f>
        <v>22</v>
      </c>
      <c r="B260" s="35" t="str">
        <f aca="false">'Data Input'!B138</f>
        <v>Final Ballasting / Tamping (Line 3)</v>
      </c>
      <c r="C260" s="36" t="str">
        <f aca="false">'Data Input'!O138</f>
        <v>Not Started</v>
      </c>
      <c r="D260" s="37" t="n">
        <f aca="false">'Data Input'!D138</f>
        <v>46312.375</v>
      </c>
      <c r="E260" s="38" t="n">
        <f aca="false">'Data Input'!D138+'Data Input'!Y138/24</f>
        <v>46313.125</v>
      </c>
      <c r="F260" s="39" t="n">
        <f aca="false">'Data Input'!Y138</f>
        <v>18</v>
      </c>
      <c r="G260" s="40" t="n">
        <f aca="false">'Data Input'!T138</f>
        <v>0</v>
      </c>
      <c r="H260" s="41" t="n">
        <f aca="false">'Data Input'!S138</f>
        <v>0</v>
      </c>
      <c r="I260" s="21"/>
      <c r="J260" s="42" t="s">
        <v>27</v>
      </c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H260" s="4" t="n">
        <f aca="false">('Data Input'!C138-$A$1)*24</f>
        <v>32</v>
      </c>
      <c r="BI260" s="4" t="n">
        <f aca="false">('Data Input'!D138-$A$1)*24</f>
        <v>33</v>
      </c>
      <c r="BJ260" s="0" t="n">
        <v>1</v>
      </c>
      <c r="BO260" s="0" t="n">
        <v>-999</v>
      </c>
      <c r="BP260" s="0" t="n">
        <v>-999</v>
      </c>
    </row>
    <row r="261" customFormat="false" ht="11.25" hidden="false" customHeight="true" outlineLevel="0" collapsed="false">
      <c r="A261" s="34"/>
      <c r="B261" s="34"/>
      <c r="C261" s="36"/>
      <c r="D261" s="37"/>
      <c r="E261" s="37"/>
      <c r="F261" s="39"/>
      <c r="G261" s="40"/>
      <c r="H261" s="40"/>
      <c r="I261" s="40"/>
      <c r="J261" s="42" t="s">
        <v>28</v>
      </c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H261" s="4" t="n">
        <f aca="false">IF($BK261="",-999,($BK261-$A$1)*24)</f>
        <v>-999</v>
      </c>
      <c r="BI261" s="4" t="n">
        <f aca="false">IF($BK261="",-999,(IF($BL261&lt;&gt;"",$BL261,IF($C$1&gt;$BK261,$C$1,$BK261+MAX('Data Input'!E138*$BM261,0.5)/24))-$A$1)*24)</f>
        <v>-999</v>
      </c>
      <c r="BJ261" s="4" t="n">
        <f aca="false">IF($BK261="",0,IF($BM261&gt;=1,IF($BN261&lt;=0,2,3),IF($BN261&lt;=0,4,5)))</f>
        <v>0</v>
      </c>
      <c r="BK261" s="0" t="str">
        <f aca="false">IF('Data Input'!Q138="","",'Data Input'!Q138)</f>
        <v/>
      </c>
      <c r="BL261" s="0" t="str">
        <f aca="false">IF('Data Input'!R138="","",'Data Input'!R138)</f>
        <v/>
      </c>
      <c r="BM261" s="4" t="n">
        <f aca="false">'Data Input'!S138</f>
        <v>0</v>
      </c>
      <c r="BN261" s="4" t="n">
        <f aca="false">'Data Input'!Y138</f>
        <v>18</v>
      </c>
      <c r="BO261" s="4" t="n">
        <f aca="false">IF($BM261&gt;=1,-999,MAX(($C$1-$A$1)*24,IF($BK261&lt;&gt;"",$BI261,$BP261-'Data Input'!E138)))</f>
        <v>50</v>
      </c>
      <c r="BP261" s="4" t="n">
        <f aca="false">('Data Input'!D138+'Data Input'!Y138/24-$A$1)*24</f>
        <v>51</v>
      </c>
    </row>
    <row r="262" customFormat="false" ht="11.25" hidden="false" customHeight="true" outlineLevel="0" collapsed="false">
      <c r="A262" s="34" t="n">
        <f aca="false">'Data Input'!A139</f>
        <v>23</v>
      </c>
      <c r="B262" s="35" t="str">
        <f aca="false">'Data Input'!B139</f>
        <v>OTMP Back towards station 35</v>
      </c>
      <c r="C262" s="36" t="str">
        <f aca="false">'Data Input'!O139</f>
        <v>Not Started</v>
      </c>
      <c r="D262" s="37" t="n">
        <f aca="false">'Data Input'!D139</f>
        <v>46312.4583333333</v>
      </c>
      <c r="E262" s="38" t="n">
        <f aca="false">'Data Input'!D139+'Data Input'!Y139/24</f>
        <v>46313.2083333333</v>
      </c>
      <c r="F262" s="39" t="n">
        <f aca="false">'Data Input'!Y139</f>
        <v>18</v>
      </c>
      <c r="G262" s="40" t="n">
        <f aca="false">'Data Input'!T139</f>
        <v>0</v>
      </c>
      <c r="H262" s="41" t="n">
        <f aca="false">'Data Input'!S139</f>
        <v>0</v>
      </c>
      <c r="I262" s="21"/>
      <c r="J262" s="42" t="s">
        <v>27</v>
      </c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H262" s="4" t="n">
        <f aca="false">('Data Input'!C139-$A$1)*24</f>
        <v>33</v>
      </c>
      <c r="BI262" s="4" t="n">
        <f aca="false">('Data Input'!D139-$A$1)*24</f>
        <v>35</v>
      </c>
      <c r="BJ262" s="0" t="n">
        <v>1</v>
      </c>
      <c r="BO262" s="0" t="n">
        <v>-999</v>
      </c>
      <c r="BP262" s="0" t="n">
        <v>-999</v>
      </c>
    </row>
    <row r="263" customFormat="false" ht="11.25" hidden="false" customHeight="true" outlineLevel="0" collapsed="false">
      <c r="A263" s="34"/>
      <c r="B263" s="34"/>
      <c r="C263" s="36"/>
      <c r="D263" s="37"/>
      <c r="E263" s="37"/>
      <c r="F263" s="39"/>
      <c r="G263" s="40"/>
      <c r="H263" s="40"/>
      <c r="I263" s="40"/>
      <c r="J263" s="42" t="s">
        <v>28</v>
      </c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H263" s="4" t="n">
        <f aca="false">IF($BK263="",-999,($BK263-$A$1)*24)</f>
        <v>-999</v>
      </c>
      <c r="BI263" s="4" t="n">
        <f aca="false">IF($BK263="",-999,(IF($BL263&lt;&gt;"",$BL263,IF($C$1&gt;$BK263,$C$1,$BK263+MAX('Data Input'!E139*$BM263,0.5)/24))-$A$1)*24)</f>
        <v>-999</v>
      </c>
      <c r="BJ263" s="4" t="n">
        <f aca="false">IF($BK263="",0,IF($BM263&gt;=1,IF($BN263&lt;=0,2,3),IF($BN263&lt;=0,4,5)))</f>
        <v>0</v>
      </c>
      <c r="BK263" s="0" t="str">
        <f aca="false">IF('Data Input'!Q139="","",'Data Input'!Q139)</f>
        <v/>
      </c>
      <c r="BL263" s="0" t="str">
        <f aca="false">IF('Data Input'!R139="","",'Data Input'!R139)</f>
        <v/>
      </c>
      <c r="BM263" s="4" t="n">
        <f aca="false">'Data Input'!S139</f>
        <v>0</v>
      </c>
      <c r="BN263" s="4" t="n">
        <f aca="false">'Data Input'!Y139</f>
        <v>18</v>
      </c>
      <c r="BO263" s="4" t="n">
        <f aca="false">IF($BM263&gt;=1,-999,MAX(($C$1-$A$1)*24,IF($BK263&lt;&gt;"",$BI263,$BP263-'Data Input'!E139)))</f>
        <v>51</v>
      </c>
      <c r="BP263" s="4" t="n">
        <f aca="false">('Data Input'!D139+'Data Input'!Y139/24-$A$1)*24</f>
        <v>53</v>
      </c>
    </row>
    <row r="264" customFormat="false" ht="11.25" hidden="false" customHeight="true" outlineLevel="0" collapsed="false">
      <c r="A264" s="34" t="n">
        <f aca="false">'Data Input'!A140</f>
        <v>24</v>
      </c>
      <c r="B264" s="35" t="str">
        <f aca="false">'Data Input'!B140</f>
        <v>Destressing (incl. 2 ATW) (Line 1)</v>
      </c>
      <c r="C264" s="36" t="str">
        <f aca="false">'Data Input'!O140</f>
        <v>Not Started</v>
      </c>
      <c r="D264" s="37" t="n">
        <f aca="false">'Data Input'!D140</f>
        <v>46312.625</v>
      </c>
      <c r="E264" s="38" t="n">
        <f aca="false">'Data Input'!D140+'Data Input'!Y140/24</f>
        <v>46313.375</v>
      </c>
      <c r="F264" s="39" t="n">
        <f aca="false">'Data Input'!Y140</f>
        <v>18</v>
      </c>
      <c r="G264" s="40" t="n">
        <f aca="false">'Data Input'!T140</f>
        <v>0</v>
      </c>
      <c r="H264" s="41" t="n">
        <f aca="false">'Data Input'!S140</f>
        <v>0</v>
      </c>
      <c r="I264" s="21"/>
      <c r="J264" s="42" t="s">
        <v>27</v>
      </c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H264" s="4" t="n">
        <f aca="false">('Data Input'!C140-$A$1)*24</f>
        <v>35</v>
      </c>
      <c r="BI264" s="4" t="n">
        <f aca="false">('Data Input'!D140-$A$1)*24</f>
        <v>39</v>
      </c>
      <c r="BJ264" s="0" t="n">
        <v>1</v>
      </c>
      <c r="BO264" s="0" t="n">
        <v>-999</v>
      </c>
      <c r="BP264" s="0" t="n">
        <v>-999</v>
      </c>
    </row>
    <row r="265" customFormat="false" ht="11.25" hidden="false" customHeight="true" outlineLevel="0" collapsed="false">
      <c r="A265" s="34"/>
      <c r="B265" s="34"/>
      <c r="C265" s="36"/>
      <c r="D265" s="37"/>
      <c r="E265" s="37"/>
      <c r="F265" s="39"/>
      <c r="G265" s="40"/>
      <c r="H265" s="40"/>
      <c r="I265" s="40"/>
      <c r="J265" s="42" t="s">
        <v>28</v>
      </c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H265" s="4" t="n">
        <f aca="false">IF($BK265="",-999,($BK265-$A$1)*24)</f>
        <v>-999</v>
      </c>
      <c r="BI265" s="4" t="n">
        <f aca="false">IF($BK265="",-999,(IF($BL265&lt;&gt;"",$BL265,IF($C$1&gt;$BK265,$C$1,$BK265+MAX('Data Input'!E140*$BM265,0.5)/24))-$A$1)*24)</f>
        <v>-999</v>
      </c>
      <c r="BJ265" s="4" t="n">
        <f aca="false">IF($BK265="",0,IF($BM265&gt;=1,IF($BN265&lt;=0,2,3),IF($BN265&lt;=0,4,5)))</f>
        <v>0</v>
      </c>
      <c r="BK265" s="0" t="str">
        <f aca="false">IF('Data Input'!Q140="","",'Data Input'!Q140)</f>
        <v/>
      </c>
      <c r="BL265" s="0" t="str">
        <f aca="false">IF('Data Input'!R140="","",'Data Input'!R140)</f>
        <v/>
      </c>
      <c r="BM265" s="4" t="n">
        <f aca="false">'Data Input'!S140</f>
        <v>0</v>
      </c>
      <c r="BN265" s="4" t="n">
        <f aca="false">'Data Input'!Y140</f>
        <v>18</v>
      </c>
      <c r="BO265" s="4" t="n">
        <f aca="false">IF($BM265&gt;=1,-999,MAX(($C$1-$A$1)*24,IF($BK265&lt;&gt;"",$BI265,$BP265-'Data Input'!E140)))</f>
        <v>53</v>
      </c>
      <c r="BP265" s="4" t="n">
        <f aca="false">('Data Input'!D140+'Data Input'!Y140/24-$A$1)*24</f>
        <v>57</v>
      </c>
    </row>
    <row r="266" customFormat="false" ht="11.25" hidden="false" customHeight="true" outlineLevel="0" collapsed="false">
      <c r="A266" s="34" t="n">
        <f aca="false">'Data Input'!A141</f>
        <v>25</v>
      </c>
      <c r="B266" s="35" t="str">
        <f aca="false">'Data Input'!B141</f>
        <v>Destressing (incl. 2 ATW) (Line 3)</v>
      </c>
      <c r="C266" s="36" t="str">
        <f aca="false">'Data Input'!O141</f>
        <v>Not Started</v>
      </c>
      <c r="D266" s="37" t="n">
        <f aca="false">'Data Input'!D141</f>
        <v>46312.7916666667</v>
      </c>
      <c r="E266" s="38" t="n">
        <f aca="false">'Data Input'!D141+'Data Input'!Y141/24</f>
        <v>46313.5416666667</v>
      </c>
      <c r="F266" s="39" t="n">
        <f aca="false">'Data Input'!Y141</f>
        <v>18</v>
      </c>
      <c r="G266" s="40" t="n">
        <f aca="false">'Data Input'!T141</f>
        <v>0</v>
      </c>
      <c r="H266" s="41" t="n">
        <f aca="false">'Data Input'!S141</f>
        <v>0</v>
      </c>
      <c r="I266" s="21"/>
      <c r="J266" s="42" t="s">
        <v>27</v>
      </c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H266" s="4" t="n">
        <f aca="false">('Data Input'!C141-$A$1)*24</f>
        <v>39</v>
      </c>
      <c r="BI266" s="4" t="n">
        <f aca="false">('Data Input'!D141-$A$1)*24</f>
        <v>43</v>
      </c>
      <c r="BJ266" s="0" t="n">
        <v>1</v>
      </c>
      <c r="BO266" s="0" t="n">
        <v>-999</v>
      </c>
      <c r="BP266" s="0" t="n">
        <v>-999</v>
      </c>
    </row>
    <row r="267" customFormat="false" ht="11.25" hidden="false" customHeight="true" outlineLevel="0" collapsed="false">
      <c r="A267" s="34"/>
      <c r="B267" s="34"/>
      <c r="C267" s="36"/>
      <c r="D267" s="37"/>
      <c r="E267" s="37"/>
      <c r="F267" s="39"/>
      <c r="G267" s="40"/>
      <c r="H267" s="40"/>
      <c r="I267" s="40"/>
      <c r="J267" s="42" t="s">
        <v>28</v>
      </c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H267" s="4" t="n">
        <f aca="false">IF($BK267="",-999,($BK267-$A$1)*24)</f>
        <v>-999</v>
      </c>
      <c r="BI267" s="4" t="n">
        <f aca="false">IF($BK267="",-999,(IF($BL267&lt;&gt;"",$BL267,IF($C$1&gt;$BK267,$C$1,$BK267+MAX('Data Input'!E141*$BM267,0.5)/24))-$A$1)*24)</f>
        <v>-999</v>
      </c>
      <c r="BJ267" s="4" t="n">
        <f aca="false">IF($BK267="",0,IF($BM267&gt;=1,IF($BN267&lt;=0,2,3),IF($BN267&lt;=0,4,5)))</f>
        <v>0</v>
      </c>
      <c r="BK267" s="0" t="str">
        <f aca="false">IF('Data Input'!Q141="","",'Data Input'!Q141)</f>
        <v/>
      </c>
      <c r="BL267" s="0" t="str">
        <f aca="false">IF('Data Input'!R141="","",'Data Input'!R141)</f>
        <v/>
      </c>
      <c r="BM267" s="4" t="n">
        <f aca="false">'Data Input'!S141</f>
        <v>0</v>
      </c>
      <c r="BN267" s="4" t="n">
        <f aca="false">'Data Input'!Y141</f>
        <v>18</v>
      </c>
      <c r="BO267" s="4" t="n">
        <f aca="false">IF($BM267&gt;=1,-999,MAX(($C$1-$A$1)*24,IF($BK267&lt;&gt;"",$BI267,$BP267-'Data Input'!E141)))</f>
        <v>57</v>
      </c>
      <c r="BP267" s="4" t="n">
        <f aca="false">('Data Input'!D141+'Data Input'!Y141/24-$A$1)*24</f>
        <v>61</v>
      </c>
    </row>
    <row r="268" customFormat="false" ht="11.25" hidden="false" customHeight="true" outlineLevel="0" collapsed="false">
      <c r="A268" s="34" t="n">
        <f aca="false">'Data Input'!A142</f>
        <v>26</v>
      </c>
      <c r="B268" s="35" t="str">
        <f aca="false">'Data Input'!B142</f>
        <v>Finishing (grinding, stamp, UT, inspection)</v>
      </c>
      <c r="C268" s="36" t="str">
        <f aca="false">'Data Input'!O142</f>
        <v>Not Started</v>
      </c>
      <c r="D268" s="37" t="n">
        <f aca="false">'Data Input'!D142</f>
        <v>46312.9583333333</v>
      </c>
      <c r="E268" s="38" t="n">
        <f aca="false">'Data Input'!D142+'Data Input'!Y142/24</f>
        <v>46313.7083333333</v>
      </c>
      <c r="F268" s="39" t="n">
        <f aca="false">'Data Input'!Y142</f>
        <v>18</v>
      </c>
      <c r="G268" s="40" t="n">
        <f aca="false">'Data Input'!T142</f>
        <v>0</v>
      </c>
      <c r="H268" s="41" t="n">
        <f aca="false">'Data Input'!S142</f>
        <v>0</v>
      </c>
      <c r="I268" s="21"/>
      <c r="J268" s="42" t="s">
        <v>27</v>
      </c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H268" s="4" t="n">
        <f aca="false">('Data Input'!C142-$A$1)*24</f>
        <v>43</v>
      </c>
      <c r="BI268" s="4" t="n">
        <f aca="false">('Data Input'!D142-$A$1)*24</f>
        <v>47</v>
      </c>
      <c r="BJ268" s="0" t="n">
        <v>1</v>
      </c>
      <c r="BO268" s="0" t="n">
        <v>-999</v>
      </c>
      <c r="BP268" s="0" t="n">
        <v>-999</v>
      </c>
    </row>
    <row r="269" customFormat="false" ht="11.25" hidden="false" customHeight="true" outlineLevel="0" collapsed="false">
      <c r="A269" s="34"/>
      <c r="B269" s="34"/>
      <c r="C269" s="36"/>
      <c r="D269" s="37"/>
      <c r="E269" s="37"/>
      <c r="F269" s="39"/>
      <c r="G269" s="40"/>
      <c r="H269" s="40"/>
      <c r="I269" s="40"/>
      <c r="J269" s="42" t="s">
        <v>28</v>
      </c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H269" s="4" t="n">
        <f aca="false">IF($BK269="",-999,($BK269-$A$1)*24)</f>
        <v>-999</v>
      </c>
      <c r="BI269" s="4" t="n">
        <f aca="false">IF($BK269="",-999,(IF($BL269&lt;&gt;"",$BL269,IF($C$1&gt;$BK269,$C$1,$BK269+MAX('Data Input'!E142*$BM269,0.5)/24))-$A$1)*24)</f>
        <v>-999</v>
      </c>
      <c r="BJ269" s="4" t="n">
        <f aca="false">IF($BK269="",0,IF($BM269&gt;=1,IF($BN269&lt;=0,2,3),IF($BN269&lt;=0,4,5)))</f>
        <v>0</v>
      </c>
      <c r="BK269" s="0" t="str">
        <f aca="false">IF('Data Input'!Q142="","",'Data Input'!Q142)</f>
        <v/>
      </c>
      <c r="BL269" s="0" t="str">
        <f aca="false">IF('Data Input'!R142="","",'Data Input'!R142)</f>
        <v/>
      </c>
      <c r="BM269" s="4" t="n">
        <f aca="false">'Data Input'!S142</f>
        <v>0</v>
      </c>
      <c r="BN269" s="4" t="n">
        <f aca="false">'Data Input'!Y142</f>
        <v>18</v>
      </c>
      <c r="BO269" s="4" t="n">
        <f aca="false">IF($BM269&gt;=1,-999,MAX(($C$1-$A$1)*24,IF($BK269&lt;&gt;"",$BI269,$BP269-'Data Input'!E142)))</f>
        <v>61</v>
      </c>
      <c r="BP269" s="4" t="n">
        <f aca="false">('Data Input'!D142+'Data Input'!Y142/24-$A$1)*24</f>
        <v>65</v>
      </c>
    </row>
    <row r="270" customFormat="false" ht="21" hidden="false" customHeight="true" outlineLevel="0" collapsed="false">
      <c r="A270" s="45" t="str">
        <f aca="false">"  TOTAL  -  "&amp;'Data Input'!$B$18</f>
        <v>  TOTAL  -  C288  –  KM 337+391</v>
      </c>
      <c r="B270" s="45"/>
      <c r="C270" s="46" t="str">
        <f aca="false">C16</f>
        <v>AT RISK</v>
      </c>
      <c r="D270" s="24" t="n">
        <f aca="false">D16</f>
        <v>46312.9583333333</v>
      </c>
      <c r="E270" s="24" t="n">
        <f aca="false">E16</f>
        <v>46313.7083333333</v>
      </c>
      <c r="F270" s="25" t="n">
        <f aca="false">F16</f>
        <v>18</v>
      </c>
      <c r="G270" s="47" t="n">
        <f aca="false">G16</f>
        <v>0.382978723404255</v>
      </c>
      <c r="H270" s="48" t="n">
        <f aca="false">H16</f>
        <v>0</v>
      </c>
      <c r="I270" s="49" t="n">
        <f aca="false">I16</f>
        <v>-17</v>
      </c>
      <c r="J270" s="50"/>
      <c r="K270" s="51" t="str">
        <f aca="false">"TOTAL  "&amp;TEXT(SUM('Data Input'!E117:E142),"0.0")&amp;" activity hours          Possession elapsed  "&amp;TEXT(MEDIAN(0,($C$1-$A$1)*24,($B$1-$A$1)*24),"0.0")&amp;"  of  "&amp;TEXT(($B$1-$A$1)*24,"0.0")&amp;" h          Report cut-off  "&amp;TEXT($C$1,"ddd dd-mmm hh:mm")</f>
        <v>TOTAL  47.0 activity hours          Possession elapsed  18.0  of  48.0 h          Report cut-off  Fri 16-Oct 18:00</v>
      </c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</row>
    <row r="271" customFormat="false" ht="15.75" hidden="false" customHeight="true" outlineLevel="0" collapsed="false">
      <c r="A271" s="52"/>
      <c r="B271" s="53" t="s">
        <v>29</v>
      </c>
      <c r="C271" s="53"/>
      <c r="D271" s="54" t="s">
        <v>30</v>
      </c>
      <c r="E271" s="54"/>
      <c r="F271" s="54"/>
      <c r="G271" s="54" t="s">
        <v>31</v>
      </c>
      <c r="H271" s="54"/>
      <c r="I271" s="54"/>
      <c r="O271" s="55"/>
      <c r="P271" s="53" t="s">
        <v>32</v>
      </c>
      <c r="Q271" s="53"/>
      <c r="R271" s="53"/>
      <c r="S271" s="53"/>
      <c r="T271" s="53"/>
      <c r="U271" s="53"/>
      <c r="V271" s="53"/>
      <c r="X271" s="56"/>
      <c r="Y271" s="53" t="s">
        <v>33</v>
      </c>
      <c r="Z271" s="53"/>
      <c r="AA271" s="53"/>
      <c r="AB271" s="53"/>
      <c r="AC271" s="53"/>
      <c r="AD271" s="53"/>
      <c r="AE271" s="53"/>
      <c r="AG271" s="57"/>
      <c r="AH271" s="53" t="s">
        <v>34</v>
      </c>
      <c r="AI271" s="53"/>
      <c r="AJ271" s="53"/>
      <c r="AK271" s="53"/>
      <c r="AL271" s="53"/>
      <c r="AM271" s="53"/>
      <c r="AN271" s="53"/>
      <c r="AP271" s="58"/>
      <c r="AQ271" s="53" t="s">
        <v>35</v>
      </c>
      <c r="AR271" s="53"/>
      <c r="AS271" s="53"/>
      <c r="AT271" s="53"/>
      <c r="AU271" s="53"/>
      <c r="AV271" s="53"/>
      <c r="AW271" s="53"/>
      <c r="AY271" s="59"/>
      <c r="AZ271" s="53" t="s">
        <v>36</v>
      </c>
      <c r="BA271" s="53"/>
      <c r="BB271" s="53"/>
      <c r="BC271" s="53"/>
      <c r="BD271" s="53"/>
      <c r="BE271" s="53"/>
      <c r="BF271" s="53"/>
    </row>
    <row r="273" customFormat="false" ht="25.5" hidden="false" customHeight="true" outlineLevel="0" collapsed="false">
      <c r="A273" s="29" t="s">
        <v>40</v>
      </c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</row>
    <row r="274" customFormat="false" ht="21.75" hidden="false" customHeight="true" outlineLevel="0" collapsed="false">
      <c r="A274" s="30" t="str">
        <f aca="false">"   3 cells        ACTUAL  "&amp;TEXT(H17,"0%")&amp;"        PLANNED  "&amp;TEXT(G17,"0%")&amp;"        PLAN FINISH  "&amp;TEXT(D17,"ddd dd-mmm hh:mm")</f>
        <v>   3 cells        ACTUAL  0%        PLANNED  39%        PLAN FINISH  Sun 18-Oct 01:00</v>
      </c>
      <c r="B274" s="30"/>
      <c r="C274" s="30"/>
      <c r="D274" s="30"/>
      <c r="E274" s="30"/>
      <c r="F274" s="30"/>
      <c r="G274" s="30"/>
      <c r="H274" s="30"/>
      <c r="I274" s="30"/>
      <c r="K274" s="31" t="str">
        <f aca="false">C17&amp;"        FORECAST  "&amp;TEXT(E17,"ddd dd-mmm hh:mm")&amp;"        "&amp;TEXT(ABS(F17),"0.0")&amp;IF(F17&gt;0," h LATE",IF(F17&lt;0," h EARLY"," h"))</f>
        <v>AT RISK        FORECAST  Sun 18-Oct 19:00        18.0 h LATE</v>
      </c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</row>
    <row r="275" customFormat="false" ht="27.75" hidden="false" customHeight="true" outlineLevel="0" collapsed="false">
      <c r="A275" s="11" t="s">
        <v>24</v>
      </c>
      <c r="B275" s="11" t="s">
        <v>25</v>
      </c>
      <c r="C275" s="11" t="s">
        <v>8</v>
      </c>
      <c r="D275" s="11" t="s">
        <v>9</v>
      </c>
      <c r="E275" s="11" t="s">
        <v>10</v>
      </c>
      <c r="F275" s="11" t="s">
        <v>11</v>
      </c>
      <c r="G275" s="11" t="s">
        <v>12</v>
      </c>
      <c r="H275" s="11" t="s">
        <v>26</v>
      </c>
      <c r="I275" s="11" t="s">
        <v>14</v>
      </c>
      <c r="K275" s="32" t="str">
        <f aca="false">UPPER(TEXT($A$1+($D$1+0*$E$1)/24,"ddd  dd-mmm  hh:mm")&amp;"  to  "&amp;TEXT($A$1+($D$1+24*$E$1)/24,"ddd  dd-mmm  hh:mm"))</f>
        <v>FRI  16-OCT  00:00  TO  SAT  17-OCT  00:00</v>
      </c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 t="str">
        <f aca="false">UPPER(TEXT($A$1+($D$1+24*$E$1)/24,"ddd  dd-mmm  hh:mm")&amp;"  to  "&amp;TEXT($A$1+($D$1+48*$E$1)/24,"ddd  dd-mmm  hh:mm"))</f>
        <v>SAT  17-OCT  00:00  TO  SUN  18-OCT  00:00</v>
      </c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</row>
    <row r="276" customFormat="false" ht="15.75" hidden="false" customHeight="true" outlineLevel="0" collapsed="false">
      <c r="K276" s="33" t="str">
        <f aca="false">TEXT($A$1+($D$1+0*$E$1)/24,"hh:mm")&amp;" - "&amp;TEXT($A$1+($D$1+6*$E$1)/24,"hh:mm")</f>
        <v>00:00 - 06:00</v>
      </c>
      <c r="L276" s="33"/>
      <c r="M276" s="33"/>
      <c r="N276" s="33"/>
      <c r="O276" s="33"/>
      <c r="P276" s="33"/>
      <c r="Q276" s="33" t="str">
        <f aca="false">TEXT($A$1+($D$1+6*$E$1)/24,"hh:mm")&amp;" - "&amp;TEXT($A$1+($D$1+12*$E$1)/24,"hh:mm")</f>
        <v>06:00 - 12:00</v>
      </c>
      <c r="R276" s="33"/>
      <c r="S276" s="33"/>
      <c r="T276" s="33"/>
      <c r="U276" s="33"/>
      <c r="V276" s="33"/>
      <c r="W276" s="33" t="str">
        <f aca="false">TEXT($A$1+($D$1+12*$E$1)/24,"hh:mm")&amp;" - "&amp;TEXT($A$1+($D$1+18*$E$1)/24,"hh:mm")</f>
        <v>12:00 - 18:00</v>
      </c>
      <c r="X276" s="33"/>
      <c r="Y276" s="33"/>
      <c r="Z276" s="33"/>
      <c r="AA276" s="33"/>
      <c r="AB276" s="33"/>
      <c r="AC276" s="33" t="str">
        <f aca="false">TEXT($A$1+($D$1+18*$E$1)/24,"hh:mm")&amp;" - "&amp;TEXT($A$1+($D$1+24*$E$1)/24,"hh:mm")</f>
        <v>18:00 - 00:00</v>
      </c>
      <c r="AD276" s="33"/>
      <c r="AE276" s="33"/>
      <c r="AF276" s="33"/>
      <c r="AG276" s="33"/>
      <c r="AH276" s="33"/>
      <c r="AI276" s="33" t="str">
        <f aca="false">TEXT($A$1+($D$1+24*$E$1)/24,"hh:mm")&amp;" - "&amp;TEXT($A$1+($D$1+30*$E$1)/24,"hh:mm")</f>
        <v>00:00 - 06:00</v>
      </c>
      <c r="AJ276" s="33"/>
      <c r="AK276" s="33"/>
      <c r="AL276" s="33"/>
      <c r="AM276" s="33"/>
      <c r="AN276" s="33"/>
      <c r="AO276" s="33" t="str">
        <f aca="false">TEXT($A$1+($D$1+30*$E$1)/24,"hh:mm")&amp;" - "&amp;TEXT($A$1+($D$1+36*$E$1)/24,"hh:mm")</f>
        <v>06:00 - 12:00</v>
      </c>
      <c r="AP276" s="33"/>
      <c r="AQ276" s="33"/>
      <c r="AR276" s="33"/>
      <c r="AS276" s="33"/>
      <c r="AT276" s="33"/>
      <c r="AU276" s="33" t="str">
        <f aca="false">TEXT($A$1+($D$1+36*$E$1)/24,"hh:mm")&amp;" - "&amp;TEXT($A$1+($D$1+42*$E$1)/24,"hh:mm")</f>
        <v>12:00 - 18:00</v>
      </c>
      <c r="AV276" s="33"/>
      <c r="AW276" s="33"/>
      <c r="AX276" s="33"/>
      <c r="AY276" s="33"/>
      <c r="AZ276" s="33"/>
      <c r="BA276" s="33" t="str">
        <f aca="false">TEXT($A$1+($D$1+42*$E$1)/24,"hh:mm")&amp;" - "&amp;TEXT($A$1+($D$1+48*$E$1)/24,"hh:mm")</f>
        <v>18:00 - 00:00</v>
      </c>
      <c r="BB276" s="33"/>
      <c r="BC276" s="33"/>
      <c r="BD276" s="33"/>
      <c r="BE276" s="33"/>
      <c r="BF276" s="33"/>
    </row>
    <row r="277" customFormat="false" ht="11.25" hidden="false" customHeight="true" outlineLevel="0" collapsed="false">
      <c r="A277" s="34" t="n">
        <f aca="false">'Data Input'!A147</f>
        <v>1</v>
      </c>
      <c r="B277" s="35" t="str">
        <f aca="false">'Data Input'!B147</f>
        <v>OTMP moves from station 35 to main Line 1</v>
      </c>
      <c r="C277" s="36" t="str">
        <f aca="false">'Data Input'!O147</f>
        <v>NOT STARTED - LATE</v>
      </c>
      <c r="D277" s="37" t="n">
        <f aca="false">'Data Input'!D147</f>
        <v>46311.0416666667</v>
      </c>
      <c r="E277" s="38" t="n">
        <f aca="false">'Data Input'!D147+'Data Input'!Y147/24</f>
        <v>46311.7916666667</v>
      </c>
      <c r="F277" s="39" t="n">
        <f aca="false">'Data Input'!Y147</f>
        <v>18</v>
      </c>
      <c r="G277" s="40" t="n">
        <f aca="false">'Data Input'!T147</f>
        <v>1</v>
      </c>
      <c r="H277" s="41" t="n">
        <f aca="false">'Data Input'!S147</f>
        <v>0</v>
      </c>
      <c r="I277" s="21"/>
      <c r="J277" s="42" t="s">
        <v>27</v>
      </c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H277" s="4" t="n">
        <f aca="false">('Data Input'!C147-$A$1)*24</f>
        <v>0</v>
      </c>
      <c r="BI277" s="4" t="n">
        <f aca="false">('Data Input'!D147-$A$1)*24</f>
        <v>1</v>
      </c>
      <c r="BJ277" s="0" t="n">
        <v>1</v>
      </c>
      <c r="BO277" s="0" t="n">
        <v>-999</v>
      </c>
      <c r="BP277" s="0" t="n">
        <v>-999</v>
      </c>
    </row>
    <row r="278" customFormat="false" ht="11.25" hidden="false" customHeight="true" outlineLevel="0" collapsed="false">
      <c r="A278" s="34"/>
      <c r="B278" s="34"/>
      <c r="C278" s="36"/>
      <c r="D278" s="37"/>
      <c r="E278" s="37"/>
      <c r="F278" s="39"/>
      <c r="G278" s="40"/>
      <c r="H278" s="40"/>
      <c r="I278" s="40"/>
      <c r="J278" s="42" t="s">
        <v>28</v>
      </c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H278" s="4" t="n">
        <f aca="false">IF($BK278="",-999,($BK278-$A$1)*24)</f>
        <v>-999</v>
      </c>
      <c r="BI278" s="4" t="n">
        <f aca="false">IF($BK278="",-999,(IF($BL278&lt;&gt;"",$BL278,IF($C$1&gt;$BK278,$C$1,$BK278+MAX('Data Input'!E147*$BM278,0.5)/24))-$A$1)*24)</f>
        <v>-999</v>
      </c>
      <c r="BJ278" s="4" t="n">
        <f aca="false">IF($BK278="",0,IF($BM278&gt;=1,IF($BN278&lt;=0,2,3),IF($BN278&lt;=0,4,5)))</f>
        <v>0</v>
      </c>
      <c r="BK278" s="0" t="str">
        <f aca="false">IF('Data Input'!Q147="","",'Data Input'!Q147)</f>
        <v/>
      </c>
      <c r="BL278" s="0" t="str">
        <f aca="false">IF('Data Input'!R147="","",'Data Input'!R147)</f>
        <v/>
      </c>
      <c r="BM278" s="4" t="n">
        <f aca="false">'Data Input'!S147</f>
        <v>0</v>
      </c>
      <c r="BN278" s="4" t="n">
        <f aca="false">'Data Input'!Y147</f>
        <v>18</v>
      </c>
      <c r="BO278" s="4" t="n">
        <f aca="false">IF($BM278&gt;=1,-999,MAX(($C$1-$A$1)*24,IF($BK278&lt;&gt;"",$BI278,$BP278-'Data Input'!E147)))</f>
        <v>18</v>
      </c>
      <c r="BP278" s="4" t="n">
        <f aca="false">('Data Input'!D147+'Data Input'!Y147/24-$A$1)*24</f>
        <v>19</v>
      </c>
    </row>
    <row r="279" customFormat="false" ht="11.25" hidden="false" customHeight="true" outlineLevel="0" collapsed="false">
      <c r="A279" s="34" t="n">
        <f aca="false">'Data Input'!A148</f>
        <v>2</v>
      </c>
      <c r="B279" s="35" t="str">
        <f aca="false">'Data Input'!B148</f>
        <v>Track removal &amp; panel evacuation (Line 1)</v>
      </c>
      <c r="C279" s="36" t="str">
        <f aca="false">'Data Input'!O148</f>
        <v>NOT STARTED - LATE</v>
      </c>
      <c r="D279" s="37" t="n">
        <f aca="false">'Data Input'!D148</f>
        <v>46311.0833333333</v>
      </c>
      <c r="E279" s="38" t="n">
        <f aca="false">'Data Input'!D148+'Data Input'!Y148/24</f>
        <v>46311.8333333333</v>
      </c>
      <c r="F279" s="39" t="n">
        <f aca="false">'Data Input'!Y148</f>
        <v>18</v>
      </c>
      <c r="G279" s="40" t="n">
        <f aca="false">'Data Input'!T148</f>
        <v>1</v>
      </c>
      <c r="H279" s="41" t="n">
        <f aca="false">'Data Input'!S148</f>
        <v>0</v>
      </c>
      <c r="I279" s="21"/>
      <c r="J279" s="42" t="s">
        <v>27</v>
      </c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H279" s="4" t="n">
        <f aca="false">('Data Input'!C148-$A$1)*24</f>
        <v>1</v>
      </c>
      <c r="BI279" s="4" t="n">
        <f aca="false">('Data Input'!D148-$A$1)*24</f>
        <v>2</v>
      </c>
      <c r="BJ279" s="0" t="n">
        <v>1</v>
      </c>
      <c r="BO279" s="0" t="n">
        <v>-999</v>
      </c>
      <c r="BP279" s="0" t="n">
        <v>-999</v>
      </c>
    </row>
    <row r="280" customFormat="false" ht="11.25" hidden="false" customHeight="true" outlineLevel="0" collapsed="false">
      <c r="A280" s="34"/>
      <c r="B280" s="34"/>
      <c r="C280" s="36"/>
      <c r="D280" s="37"/>
      <c r="E280" s="37"/>
      <c r="F280" s="39"/>
      <c r="G280" s="40"/>
      <c r="H280" s="40"/>
      <c r="I280" s="40"/>
      <c r="J280" s="42" t="s">
        <v>28</v>
      </c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H280" s="4" t="n">
        <f aca="false">IF($BK280="",-999,($BK280-$A$1)*24)</f>
        <v>-999</v>
      </c>
      <c r="BI280" s="4" t="n">
        <f aca="false">IF($BK280="",-999,(IF($BL280&lt;&gt;"",$BL280,IF($C$1&gt;$BK280,$C$1,$BK280+MAX('Data Input'!E148*$BM280,0.5)/24))-$A$1)*24)</f>
        <v>-999</v>
      </c>
      <c r="BJ280" s="4" t="n">
        <f aca="false">IF($BK280="",0,IF($BM280&gt;=1,IF($BN280&lt;=0,2,3),IF($BN280&lt;=0,4,5)))</f>
        <v>0</v>
      </c>
      <c r="BK280" s="0" t="str">
        <f aca="false">IF('Data Input'!Q148="","",'Data Input'!Q148)</f>
        <v/>
      </c>
      <c r="BL280" s="0" t="str">
        <f aca="false">IF('Data Input'!R148="","",'Data Input'!R148)</f>
        <v/>
      </c>
      <c r="BM280" s="4" t="n">
        <f aca="false">'Data Input'!S148</f>
        <v>0</v>
      </c>
      <c r="BN280" s="4" t="n">
        <f aca="false">'Data Input'!Y148</f>
        <v>18</v>
      </c>
      <c r="BO280" s="4" t="n">
        <f aca="false">IF($BM280&gt;=1,-999,MAX(($C$1-$A$1)*24,IF($BK280&lt;&gt;"",$BI280,$BP280-'Data Input'!E148)))</f>
        <v>19</v>
      </c>
      <c r="BP280" s="4" t="n">
        <f aca="false">('Data Input'!D148+'Data Input'!Y148/24-$A$1)*24</f>
        <v>20</v>
      </c>
    </row>
    <row r="281" customFormat="false" ht="11.25" hidden="false" customHeight="true" outlineLevel="0" collapsed="false">
      <c r="A281" s="34" t="n">
        <f aca="false">'Data Input'!A149</f>
        <v>3</v>
      </c>
      <c r="B281" s="35" t="str">
        <f aca="false">'Data Input'!B149</f>
        <v>Track removal &amp; panel evacuation (Line 3)</v>
      </c>
      <c r="C281" s="36" t="str">
        <f aca="false">'Data Input'!O149</f>
        <v>NOT STARTED - LATE</v>
      </c>
      <c r="D281" s="37" t="n">
        <f aca="false">'Data Input'!D149</f>
        <v>46311.0416666667</v>
      </c>
      <c r="E281" s="38" t="n">
        <f aca="false">'Data Input'!D149+'Data Input'!Y149/24</f>
        <v>46311.7916666667</v>
      </c>
      <c r="F281" s="39" t="n">
        <f aca="false">'Data Input'!Y149</f>
        <v>18</v>
      </c>
      <c r="G281" s="40" t="n">
        <f aca="false">'Data Input'!T149</f>
        <v>1</v>
      </c>
      <c r="H281" s="41" t="n">
        <f aca="false">'Data Input'!S149</f>
        <v>0</v>
      </c>
      <c r="I281" s="21"/>
      <c r="J281" s="42" t="s">
        <v>27</v>
      </c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H281" s="4" t="n">
        <f aca="false">('Data Input'!C149-$A$1)*24</f>
        <v>0</v>
      </c>
      <c r="BI281" s="4" t="n">
        <f aca="false">('Data Input'!D149-$A$1)*24</f>
        <v>1</v>
      </c>
      <c r="BJ281" s="0" t="n">
        <v>1</v>
      </c>
      <c r="BO281" s="0" t="n">
        <v>-999</v>
      </c>
      <c r="BP281" s="0" t="n">
        <v>-999</v>
      </c>
    </row>
    <row r="282" customFormat="false" ht="11.25" hidden="false" customHeight="true" outlineLevel="0" collapsed="false">
      <c r="A282" s="34"/>
      <c r="B282" s="34"/>
      <c r="C282" s="36"/>
      <c r="D282" s="37"/>
      <c r="E282" s="37"/>
      <c r="F282" s="39"/>
      <c r="G282" s="40"/>
      <c r="H282" s="40"/>
      <c r="I282" s="40"/>
      <c r="J282" s="42" t="s">
        <v>28</v>
      </c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H282" s="4" t="n">
        <f aca="false">IF($BK282="",-999,($BK282-$A$1)*24)</f>
        <v>-999</v>
      </c>
      <c r="BI282" s="4" t="n">
        <f aca="false">IF($BK282="",-999,(IF($BL282&lt;&gt;"",$BL282,IF($C$1&gt;$BK282,$C$1,$BK282+MAX('Data Input'!E149*$BM282,0.5)/24))-$A$1)*24)</f>
        <v>-999</v>
      </c>
      <c r="BJ282" s="4" t="n">
        <f aca="false">IF($BK282="",0,IF($BM282&gt;=1,IF($BN282&lt;=0,2,3),IF($BN282&lt;=0,4,5)))</f>
        <v>0</v>
      </c>
      <c r="BK282" s="0" t="str">
        <f aca="false">IF('Data Input'!Q149="","",'Data Input'!Q149)</f>
        <v/>
      </c>
      <c r="BL282" s="0" t="str">
        <f aca="false">IF('Data Input'!R149="","",'Data Input'!R149)</f>
        <v/>
      </c>
      <c r="BM282" s="4" t="n">
        <f aca="false">'Data Input'!S149</f>
        <v>0</v>
      </c>
      <c r="BN282" s="4" t="n">
        <f aca="false">'Data Input'!Y149</f>
        <v>18</v>
      </c>
      <c r="BO282" s="4" t="n">
        <f aca="false">IF($BM282&gt;=1,-999,MAX(($C$1-$A$1)*24,IF($BK282&lt;&gt;"",$BI282,$BP282-'Data Input'!E149)))</f>
        <v>18</v>
      </c>
      <c r="BP282" s="4" t="n">
        <f aca="false">('Data Input'!D149+'Data Input'!Y149/24-$A$1)*24</f>
        <v>19</v>
      </c>
    </row>
    <row r="283" customFormat="false" ht="11.25" hidden="false" customHeight="true" outlineLevel="0" collapsed="false">
      <c r="A283" s="34" t="n">
        <f aca="false">'Data Input'!A150</f>
        <v>4</v>
      </c>
      <c r="B283" s="35" t="str">
        <f aca="false">'Data Input'!B150</f>
        <v>Ballast removal</v>
      </c>
      <c r="C283" s="36" t="str">
        <f aca="false">'Data Input'!O150</f>
        <v>NOT STARTED - LATE</v>
      </c>
      <c r="D283" s="37" t="n">
        <f aca="false">'Data Input'!D150</f>
        <v>46311.0833333333</v>
      </c>
      <c r="E283" s="38" t="n">
        <f aca="false">'Data Input'!D150+'Data Input'!Y150/24</f>
        <v>46311.8333333333</v>
      </c>
      <c r="F283" s="39" t="n">
        <f aca="false">'Data Input'!Y150</f>
        <v>18</v>
      </c>
      <c r="G283" s="40" t="n">
        <f aca="false">'Data Input'!T150</f>
        <v>1</v>
      </c>
      <c r="H283" s="41" t="n">
        <f aca="false">'Data Input'!S150</f>
        <v>0</v>
      </c>
      <c r="I283" s="21"/>
      <c r="J283" s="42" t="s">
        <v>27</v>
      </c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H283" s="4" t="n">
        <f aca="false">('Data Input'!C150-$A$1)*24</f>
        <v>1</v>
      </c>
      <c r="BI283" s="4" t="n">
        <f aca="false">('Data Input'!D150-$A$1)*24</f>
        <v>2</v>
      </c>
      <c r="BJ283" s="0" t="n">
        <v>1</v>
      </c>
      <c r="BO283" s="0" t="n">
        <v>-999</v>
      </c>
      <c r="BP283" s="0" t="n">
        <v>-999</v>
      </c>
    </row>
    <row r="284" customFormat="false" ht="11.25" hidden="false" customHeight="true" outlineLevel="0" collapsed="false">
      <c r="A284" s="34"/>
      <c r="B284" s="34"/>
      <c r="C284" s="36"/>
      <c r="D284" s="37"/>
      <c r="E284" s="37"/>
      <c r="F284" s="39"/>
      <c r="G284" s="40"/>
      <c r="H284" s="40"/>
      <c r="I284" s="40"/>
      <c r="J284" s="42" t="s">
        <v>28</v>
      </c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H284" s="4" t="n">
        <f aca="false">IF($BK284="",-999,($BK284-$A$1)*24)</f>
        <v>-999</v>
      </c>
      <c r="BI284" s="4" t="n">
        <f aca="false">IF($BK284="",-999,(IF($BL284&lt;&gt;"",$BL284,IF($C$1&gt;$BK284,$C$1,$BK284+MAX('Data Input'!E150*$BM284,0.5)/24))-$A$1)*24)</f>
        <v>-999</v>
      </c>
      <c r="BJ284" s="4" t="n">
        <f aca="false">IF($BK284="",0,IF($BM284&gt;=1,IF($BN284&lt;=0,2,3),IF($BN284&lt;=0,4,5)))</f>
        <v>0</v>
      </c>
      <c r="BK284" s="0" t="str">
        <f aca="false">IF('Data Input'!Q150="","",'Data Input'!Q150)</f>
        <v/>
      </c>
      <c r="BL284" s="0" t="str">
        <f aca="false">IF('Data Input'!R150="","",'Data Input'!R150)</f>
        <v/>
      </c>
      <c r="BM284" s="4" t="n">
        <f aca="false">'Data Input'!S150</f>
        <v>0</v>
      </c>
      <c r="BN284" s="4" t="n">
        <f aca="false">'Data Input'!Y150</f>
        <v>18</v>
      </c>
      <c r="BO284" s="4" t="n">
        <f aca="false">IF($BM284&gt;=1,-999,MAX(($C$1-$A$1)*24,IF($BK284&lt;&gt;"",$BI284,$BP284-'Data Input'!E150)))</f>
        <v>19</v>
      </c>
      <c r="BP284" s="4" t="n">
        <f aca="false">('Data Input'!D150+'Data Input'!Y150/24-$A$1)*24</f>
        <v>20</v>
      </c>
    </row>
    <row r="285" customFormat="false" ht="11.25" hidden="false" customHeight="true" outlineLevel="0" collapsed="false">
      <c r="A285" s="34" t="n">
        <f aca="false">'Data Input'!A151</f>
        <v>5</v>
      </c>
      <c r="B285" s="35" t="str">
        <f aca="false">'Data Input'!B151</f>
        <v>Cutting &amp; removal around existing culvert</v>
      </c>
      <c r="C285" s="36" t="str">
        <f aca="false">'Data Input'!O151</f>
        <v>NOT STARTED - LATE</v>
      </c>
      <c r="D285" s="37" t="n">
        <f aca="false">'Data Input'!D151</f>
        <v>46311.1666666667</v>
      </c>
      <c r="E285" s="38" t="n">
        <f aca="false">'Data Input'!D151+'Data Input'!Y151/24</f>
        <v>46311.9166666667</v>
      </c>
      <c r="F285" s="39" t="n">
        <f aca="false">'Data Input'!Y151</f>
        <v>18</v>
      </c>
      <c r="G285" s="40" t="n">
        <f aca="false">'Data Input'!T151</f>
        <v>1</v>
      </c>
      <c r="H285" s="41" t="n">
        <f aca="false">'Data Input'!S151</f>
        <v>0</v>
      </c>
      <c r="I285" s="21"/>
      <c r="J285" s="42" t="s">
        <v>27</v>
      </c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H285" s="4" t="n">
        <f aca="false">('Data Input'!C151-$A$1)*24</f>
        <v>2</v>
      </c>
      <c r="BI285" s="4" t="n">
        <f aca="false">('Data Input'!D151-$A$1)*24</f>
        <v>4</v>
      </c>
      <c r="BJ285" s="0" t="n">
        <v>1</v>
      </c>
      <c r="BO285" s="0" t="n">
        <v>-999</v>
      </c>
      <c r="BP285" s="0" t="n">
        <v>-999</v>
      </c>
    </row>
    <row r="286" customFormat="false" ht="11.25" hidden="false" customHeight="true" outlineLevel="0" collapsed="false">
      <c r="A286" s="34"/>
      <c r="B286" s="34"/>
      <c r="C286" s="36"/>
      <c r="D286" s="37"/>
      <c r="E286" s="37"/>
      <c r="F286" s="39"/>
      <c r="G286" s="40"/>
      <c r="H286" s="40"/>
      <c r="I286" s="40"/>
      <c r="J286" s="42" t="s">
        <v>28</v>
      </c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H286" s="4" t="n">
        <f aca="false">IF($BK286="",-999,($BK286-$A$1)*24)</f>
        <v>-999</v>
      </c>
      <c r="BI286" s="4" t="n">
        <f aca="false">IF($BK286="",-999,(IF($BL286&lt;&gt;"",$BL286,IF($C$1&gt;$BK286,$C$1,$BK286+MAX('Data Input'!E151*$BM286,0.5)/24))-$A$1)*24)</f>
        <v>-999</v>
      </c>
      <c r="BJ286" s="4" t="n">
        <f aca="false">IF($BK286="",0,IF($BM286&gt;=1,IF($BN286&lt;=0,2,3),IF($BN286&lt;=0,4,5)))</f>
        <v>0</v>
      </c>
      <c r="BK286" s="0" t="str">
        <f aca="false">IF('Data Input'!Q151="","",'Data Input'!Q151)</f>
        <v/>
      </c>
      <c r="BL286" s="0" t="str">
        <f aca="false">IF('Data Input'!R151="","",'Data Input'!R151)</f>
        <v/>
      </c>
      <c r="BM286" s="4" t="n">
        <f aca="false">'Data Input'!S151</f>
        <v>0</v>
      </c>
      <c r="BN286" s="4" t="n">
        <f aca="false">'Data Input'!Y151</f>
        <v>18</v>
      </c>
      <c r="BO286" s="4" t="n">
        <f aca="false">IF($BM286&gt;=1,-999,MAX(($C$1-$A$1)*24,IF($BK286&lt;&gt;"",$BI286,$BP286-'Data Input'!E151)))</f>
        <v>20</v>
      </c>
      <c r="BP286" s="4" t="n">
        <f aca="false">('Data Input'!D151+'Data Input'!Y151/24-$A$1)*24</f>
        <v>22</v>
      </c>
    </row>
    <row r="287" customFormat="false" ht="11.25" hidden="false" customHeight="true" outlineLevel="0" collapsed="false">
      <c r="A287" s="34" t="n">
        <f aca="false">'Data Input'!A152</f>
        <v>6</v>
      </c>
      <c r="B287" s="35" t="str">
        <f aca="false">'Data Input'!B152</f>
        <v>Demolition of existing culvert</v>
      </c>
      <c r="C287" s="36" t="str">
        <f aca="false">'Data Input'!O152</f>
        <v>NOT STARTED - LATE</v>
      </c>
      <c r="D287" s="37" t="n">
        <f aca="false">'Data Input'!D152</f>
        <v>46311.3333333333</v>
      </c>
      <c r="E287" s="38" t="n">
        <f aca="false">'Data Input'!D152+'Data Input'!Y152/24</f>
        <v>46312.0833333333</v>
      </c>
      <c r="F287" s="39" t="n">
        <f aca="false">'Data Input'!Y152</f>
        <v>18</v>
      </c>
      <c r="G287" s="40" t="n">
        <f aca="false">'Data Input'!T152</f>
        <v>1</v>
      </c>
      <c r="H287" s="41" t="n">
        <f aca="false">'Data Input'!S152</f>
        <v>0</v>
      </c>
      <c r="I287" s="21"/>
      <c r="J287" s="42" t="s">
        <v>27</v>
      </c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H287" s="4" t="n">
        <f aca="false">('Data Input'!C152-$A$1)*24</f>
        <v>4</v>
      </c>
      <c r="BI287" s="4" t="n">
        <f aca="false">('Data Input'!D152-$A$1)*24</f>
        <v>8</v>
      </c>
      <c r="BJ287" s="0" t="n">
        <v>1</v>
      </c>
      <c r="BO287" s="0" t="n">
        <v>-999</v>
      </c>
      <c r="BP287" s="0" t="n">
        <v>-999</v>
      </c>
    </row>
    <row r="288" customFormat="false" ht="11.25" hidden="false" customHeight="true" outlineLevel="0" collapsed="false">
      <c r="A288" s="34"/>
      <c r="B288" s="34"/>
      <c r="C288" s="36"/>
      <c r="D288" s="37"/>
      <c r="E288" s="37"/>
      <c r="F288" s="39"/>
      <c r="G288" s="40"/>
      <c r="H288" s="40"/>
      <c r="I288" s="40"/>
      <c r="J288" s="42" t="s">
        <v>28</v>
      </c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H288" s="4" t="n">
        <f aca="false">IF($BK288="",-999,($BK288-$A$1)*24)</f>
        <v>-999</v>
      </c>
      <c r="BI288" s="4" t="n">
        <f aca="false">IF($BK288="",-999,(IF($BL288&lt;&gt;"",$BL288,IF($C$1&gt;$BK288,$C$1,$BK288+MAX('Data Input'!E152*$BM288,0.5)/24))-$A$1)*24)</f>
        <v>-999</v>
      </c>
      <c r="BJ288" s="4" t="n">
        <f aca="false">IF($BK288="",0,IF($BM288&gt;=1,IF($BN288&lt;=0,2,3),IF($BN288&lt;=0,4,5)))</f>
        <v>0</v>
      </c>
      <c r="BK288" s="0" t="str">
        <f aca="false">IF('Data Input'!Q152="","",'Data Input'!Q152)</f>
        <v/>
      </c>
      <c r="BL288" s="0" t="str">
        <f aca="false">IF('Data Input'!R152="","",'Data Input'!R152)</f>
        <v/>
      </c>
      <c r="BM288" s="4" t="n">
        <f aca="false">'Data Input'!S152</f>
        <v>0</v>
      </c>
      <c r="BN288" s="4" t="n">
        <f aca="false">'Data Input'!Y152</f>
        <v>18</v>
      </c>
      <c r="BO288" s="4" t="n">
        <f aca="false">IF($BM288&gt;=1,-999,MAX(($C$1-$A$1)*24,IF($BK288&lt;&gt;"",$BI288,$BP288-'Data Input'!E152)))</f>
        <v>22</v>
      </c>
      <c r="BP288" s="4" t="n">
        <f aca="false">('Data Input'!D152+'Data Input'!Y152/24-$A$1)*24</f>
        <v>26</v>
      </c>
    </row>
    <row r="289" customFormat="false" ht="11.25" hidden="false" customHeight="true" outlineLevel="0" collapsed="false">
      <c r="A289" s="34" t="n">
        <f aca="false">'Data Input'!A153</f>
        <v>7</v>
      </c>
      <c r="B289" s="35" t="str">
        <f aca="false">'Data Input'!B153</f>
        <v>Surface preparation for precast installation</v>
      </c>
      <c r="C289" s="36" t="str">
        <f aca="false">'Data Input'!O153</f>
        <v>NOT STARTED - LATE</v>
      </c>
      <c r="D289" s="37" t="n">
        <f aca="false">'Data Input'!D153</f>
        <v>46311.4166666667</v>
      </c>
      <c r="E289" s="38" t="n">
        <f aca="false">'Data Input'!D153+'Data Input'!Y153/24</f>
        <v>46312.1666666667</v>
      </c>
      <c r="F289" s="39" t="n">
        <f aca="false">'Data Input'!Y153</f>
        <v>18</v>
      </c>
      <c r="G289" s="40" t="n">
        <f aca="false">'Data Input'!T153</f>
        <v>1</v>
      </c>
      <c r="H289" s="41" t="n">
        <f aca="false">'Data Input'!S153</f>
        <v>0</v>
      </c>
      <c r="I289" s="21"/>
      <c r="J289" s="42" t="s">
        <v>27</v>
      </c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H289" s="4" t="n">
        <f aca="false">('Data Input'!C153-$A$1)*24</f>
        <v>8</v>
      </c>
      <c r="BI289" s="4" t="n">
        <f aca="false">('Data Input'!D153-$A$1)*24</f>
        <v>10</v>
      </c>
      <c r="BJ289" s="0" t="n">
        <v>1</v>
      </c>
      <c r="BO289" s="0" t="n">
        <v>-999</v>
      </c>
      <c r="BP289" s="0" t="n">
        <v>-999</v>
      </c>
    </row>
    <row r="290" customFormat="false" ht="11.25" hidden="false" customHeight="true" outlineLevel="0" collapsed="false">
      <c r="A290" s="34"/>
      <c r="B290" s="34"/>
      <c r="C290" s="36"/>
      <c r="D290" s="37"/>
      <c r="E290" s="37"/>
      <c r="F290" s="39"/>
      <c r="G290" s="40"/>
      <c r="H290" s="40"/>
      <c r="I290" s="40"/>
      <c r="J290" s="42" t="s">
        <v>28</v>
      </c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H290" s="4" t="n">
        <f aca="false">IF($BK290="",-999,($BK290-$A$1)*24)</f>
        <v>-999</v>
      </c>
      <c r="BI290" s="4" t="n">
        <f aca="false">IF($BK290="",-999,(IF($BL290&lt;&gt;"",$BL290,IF($C$1&gt;$BK290,$C$1,$BK290+MAX('Data Input'!E153*$BM290,0.5)/24))-$A$1)*24)</f>
        <v>-999</v>
      </c>
      <c r="BJ290" s="4" t="n">
        <f aca="false">IF($BK290="",0,IF($BM290&gt;=1,IF($BN290&lt;=0,2,3),IF($BN290&lt;=0,4,5)))</f>
        <v>0</v>
      </c>
      <c r="BK290" s="0" t="str">
        <f aca="false">IF('Data Input'!Q153="","",'Data Input'!Q153)</f>
        <v/>
      </c>
      <c r="BL290" s="0" t="str">
        <f aca="false">IF('Data Input'!R153="","",'Data Input'!R153)</f>
        <v/>
      </c>
      <c r="BM290" s="4" t="n">
        <f aca="false">'Data Input'!S153</f>
        <v>0</v>
      </c>
      <c r="BN290" s="4" t="n">
        <f aca="false">'Data Input'!Y153</f>
        <v>18</v>
      </c>
      <c r="BO290" s="4" t="n">
        <f aca="false">IF($BM290&gt;=1,-999,MAX(($C$1-$A$1)*24,IF($BK290&lt;&gt;"",$BI290,$BP290-'Data Input'!E153)))</f>
        <v>26</v>
      </c>
      <c r="BP290" s="4" t="n">
        <f aca="false">('Data Input'!D153+'Data Input'!Y153/24-$A$1)*24</f>
        <v>28</v>
      </c>
    </row>
    <row r="291" customFormat="false" ht="11.25" hidden="false" customHeight="true" outlineLevel="0" collapsed="false">
      <c r="A291" s="34" t="n">
        <f aca="false">'Data Input'!A154</f>
        <v>8</v>
      </c>
      <c r="B291" s="35" t="str">
        <f aca="false">'Data Input'!B154</f>
        <v>Installation of new precast culvert</v>
      </c>
      <c r="C291" s="36" t="str">
        <f aca="false">'Data Input'!O154</f>
        <v>NOT STARTED - LATE</v>
      </c>
      <c r="D291" s="37" t="n">
        <f aca="false">'Data Input'!D154</f>
        <v>46311.5</v>
      </c>
      <c r="E291" s="38" t="n">
        <f aca="false">'Data Input'!D154+'Data Input'!Y154/24</f>
        <v>46312.25</v>
      </c>
      <c r="F291" s="39" t="n">
        <f aca="false">'Data Input'!Y154</f>
        <v>18</v>
      </c>
      <c r="G291" s="40" t="n">
        <f aca="false">'Data Input'!T154</f>
        <v>1</v>
      </c>
      <c r="H291" s="41" t="n">
        <f aca="false">'Data Input'!S154</f>
        <v>0</v>
      </c>
      <c r="I291" s="21"/>
      <c r="J291" s="42" t="s">
        <v>27</v>
      </c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H291" s="4" t="n">
        <f aca="false">('Data Input'!C154-$A$1)*24</f>
        <v>10</v>
      </c>
      <c r="BI291" s="4" t="n">
        <f aca="false">('Data Input'!D154-$A$1)*24</f>
        <v>12</v>
      </c>
      <c r="BJ291" s="0" t="n">
        <v>1</v>
      </c>
      <c r="BO291" s="0" t="n">
        <v>-999</v>
      </c>
      <c r="BP291" s="0" t="n">
        <v>-999</v>
      </c>
    </row>
    <row r="292" customFormat="false" ht="11.25" hidden="false" customHeight="true" outlineLevel="0" collapsed="false">
      <c r="A292" s="34"/>
      <c r="B292" s="34"/>
      <c r="C292" s="36"/>
      <c r="D292" s="37"/>
      <c r="E292" s="37"/>
      <c r="F292" s="39"/>
      <c r="G292" s="40"/>
      <c r="H292" s="40"/>
      <c r="I292" s="40"/>
      <c r="J292" s="42" t="s">
        <v>28</v>
      </c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H292" s="4" t="n">
        <f aca="false">IF($BK292="",-999,($BK292-$A$1)*24)</f>
        <v>-999</v>
      </c>
      <c r="BI292" s="4" t="n">
        <f aca="false">IF($BK292="",-999,(IF($BL292&lt;&gt;"",$BL292,IF($C$1&gt;$BK292,$C$1,$BK292+MAX('Data Input'!E154*$BM292,0.5)/24))-$A$1)*24)</f>
        <v>-999</v>
      </c>
      <c r="BJ292" s="4" t="n">
        <f aca="false">IF($BK292="",0,IF($BM292&gt;=1,IF($BN292&lt;=0,2,3),IF($BN292&lt;=0,4,5)))</f>
        <v>0</v>
      </c>
      <c r="BK292" s="0" t="str">
        <f aca="false">IF('Data Input'!Q154="","",'Data Input'!Q154)</f>
        <v/>
      </c>
      <c r="BL292" s="0" t="str">
        <f aca="false">IF('Data Input'!R154="","",'Data Input'!R154)</f>
        <v/>
      </c>
      <c r="BM292" s="4" t="n">
        <f aca="false">'Data Input'!S154</f>
        <v>0</v>
      </c>
      <c r="BN292" s="4" t="n">
        <f aca="false">'Data Input'!Y154</f>
        <v>18</v>
      </c>
      <c r="BO292" s="4" t="n">
        <f aca="false">IF($BM292&gt;=1,-999,MAX(($C$1-$A$1)*24,IF($BK292&lt;&gt;"",$BI292,$BP292-'Data Input'!E154)))</f>
        <v>28</v>
      </c>
      <c r="BP292" s="4" t="n">
        <f aca="false">('Data Input'!D154+'Data Input'!Y154/24-$A$1)*24</f>
        <v>30</v>
      </c>
    </row>
    <row r="293" customFormat="false" ht="11.25" hidden="false" customHeight="true" outlineLevel="0" collapsed="false">
      <c r="A293" s="34" t="n">
        <f aca="false">'Data Input'!A155</f>
        <v>9</v>
      </c>
      <c r="B293" s="35" t="str">
        <f aca="false">'Data Input'!B155</f>
        <v>Apply sealant to the culvert</v>
      </c>
      <c r="C293" s="36" t="str">
        <f aca="false">'Data Input'!O155</f>
        <v>NOT STARTED - LATE</v>
      </c>
      <c r="D293" s="37" t="n">
        <f aca="false">'Data Input'!D155</f>
        <v>46311.5833333333</v>
      </c>
      <c r="E293" s="38" t="n">
        <f aca="false">'Data Input'!D155+'Data Input'!Y155/24</f>
        <v>46312.3333333333</v>
      </c>
      <c r="F293" s="39" t="n">
        <f aca="false">'Data Input'!Y155</f>
        <v>18</v>
      </c>
      <c r="G293" s="40" t="n">
        <f aca="false">'Data Input'!T155</f>
        <v>1</v>
      </c>
      <c r="H293" s="41" t="n">
        <f aca="false">'Data Input'!S155</f>
        <v>0</v>
      </c>
      <c r="I293" s="21"/>
      <c r="J293" s="42" t="s">
        <v>27</v>
      </c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H293" s="4" t="n">
        <f aca="false">('Data Input'!C155-$A$1)*24</f>
        <v>12</v>
      </c>
      <c r="BI293" s="4" t="n">
        <f aca="false">('Data Input'!D155-$A$1)*24</f>
        <v>14</v>
      </c>
      <c r="BJ293" s="0" t="n">
        <v>1</v>
      </c>
      <c r="BO293" s="0" t="n">
        <v>-999</v>
      </c>
      <c r="BP293" s="0" t="n">
        <v>-999</v>
      </c>
    </row>
    <row r="294" customFormat="false" ht="11.25" hidden="false" customHeight="true" outlineLevel="0" collapsed="false">
      <c r="A294" s="34"/>
      <c r="B294" s="34"/>
      <c r="C294" s="36"/>
      <c r="D294" s="37"/>
      <c r="E294" s="37"/>
      <c r="F294" s="39"/>
      <c r="G294" s="40"/>
      <c r="H294" s="40"/>
      <c r="I294" s="40"/>
      <c r="J294" s="42" t="s">
        <v>28</v>
      </c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H294" s="4" t="n">
        <f aca="false">IF($BK294="",-999,($BK294-$A$1)*24)</f>
        <v>-999</v>
      </c>
      <c r="BI294" s="4" t="n">
        <f aca="false">IF($BK294="",-999,(IF($BL294&lt;&gt;"",$BL294,IF($C$1&gt;$BK294,$C$1,$BK294+MAX('Data Input'!E155*$BM294,0.5)/24))-$A$1)*24)</f>
        <v>-999</v>
      </c>
      <c r="BJ294" s="4" t="n">
        <f aca="false">IF($BK294="",0,IF($BM294&gt;=1,IF($BN294&lt;=0,2,3),IF($BN294&lt;=0,4,5)))</f>
        <v>0</v>
      </c>
      <c r="BK294" s="0" t="str">
        <f aca="false">IF('Data Input'!Q155="","",'Data Input'!Q155)</f>
        <v/>
      </c>
      <c r="BL294" s="0" t="str">
        <f aca="false">IF('Data Input'!R155="","",'Data Input'!R155)</f>
        <v/>
      </c>
      <c r="BM294" s="4" t="n">
        <f aca="false">'Data Input'!S155</f>
        <v>0</v>
      </c>
      <c r="BN294" s="4" t="n">
        <f aca="false">'Data Input'!Y155</f>
        <v>18</v>
      </c>
      <c r="BO294" s="4" t="n">
        <f aca="false">IF($BM294&gt;=1,-999,MAX(($C$1-$A$1)*24,IF($BK294&lt;&gt;"",$BI294,$BP294-'Data Input'!E155)))</f>
        <v>30</v>
      </c>
      <c r="BP294" s="4" t="n">
        <f aca="false">('Data Input'!D155+'Data Input'!Y155/24-$A$1)*24</f>
        <v>32</v>
      </c>
    </row>
    <row r="295" customFormat="false" ht="11.25" hidden="false" customHeight="true" outlineLevel="0" collapsed="false">
      <c r="A295" s="34" t="n">
        <f aca="false">'Data Input'!A156</f>
        <v>10</v>
      </c>
      <c r="B295" s="35" t="str">
        <f aca="false">'Data Input'!B156</f>
        <v>Backfill around culvert to subgrade level</v>
      </c>
      <c r="C295" s="36" t="str">
        <f aca="false">'Data Input'!O156</f>
        <v>NOT STARTED - LATE</v>
      </c>
      <c r="D295" s="37" t="n">
        <f aca="false">'Data Input'!D156</f>
        <v>46311.7916666667</v>
      </c>
      <c r="E295" s="38" t="n">
        <f aca="false">'Data Input'!D156+'Data Input'!Y156/24</f>
        <v>46312.5416666667</v>
      </c>
      <c r="F295" s="39" t="n">
        <f aca="false">'Data Input'!Y156</f>
        <v>18</v>
      </c>
      <c r="G295" s="40" t="n">
        <f aca="false">'Data Input'!T156</f>
        <v>0.8</v>
      </c>
      <c r="H295" s="41" t="n">
        <f aca="false">'Data Input'!S156</f>
        <v>0</v>
      </c>
      <c r="I295" s="21"/>
      <c r="J295" s="42" t="s">
        <v>27</v>
      </c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H295" s="4" t="n">
        <f aca="false">('Data Input'!C156-$A$1)*24</f>
        <v>14</v>
      </c>
      <c r="BI295" s="4" t="n">
        <f aca="false">('Data Input'!D156-$A$1)*24</f>
        <v>19</v>
      </c>
      <c r="BJ295" s="0" t="n">
        <v>1</v>
      </c>
      <c r="BO295" s="0" t="n">
        <v>-999</v>
      </c>
      <c r="BP295" s="0" t="n">
        <v>-999</v>
      </c>
    </row>
    <row r="296" customFormat="false" ht="11.25" hidden="false" customHeight="true" outlineLevel="0" collapsed="false">
      <c r="A296" s="34"/>
      <c r="B296" s="34"/>
      <c r="C296" s="36"/>
      <c r="D296" s="37"/>
      <c r="E296" s="37"/>
      <c r="F296" s="39"/>
      <c r="G296" s="40"/>
      <c r="H296" s="40"/>
      <c r="I296" s="40"/>
      <c r="J296" s="42" t="s">
        <v>28</v>
      </c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H296" s="4" t="n">
        <f aca="false">IF($BK296="",-999,($BK296-$A$1)*24)</f>
        <v>-999</v>
      </c>
      <c r="BI296" s="4" t="n">
        <f aca="false">IF($BK296="",-999,(IF($BL296&lt;&gt;"",$BL296,IF($C$1&gt;$BK296,$C$1,$BK296+MAX('Data Input'!E156*$BM296,0.5)/24))-$A$1)*24)</f>
        <v>-999</v>
      </c>
      <c r="BJ296" s="4" t="n">
        <f aca="false">IF($BK296="",0,IF($BM296&gt;=1,IF($BN296&lt;=0,2,3),IF($BN296&lt;=0,4,5)))</f>
        <v>0</v>
      </c>
      <c r="BK296" s="0" t="str">
        <f aca="false">IF('Data Input'!Q156="","",'Data Input'!Q156)</f>
        <v/>
      </c>
      <c r="BL296" s="0" t="str">
        <f aca="false">IF('Data Input'!R156="","",'Data Input'!R156)</f>
        <v/>
      </c>
      <c r="BM296" s="4" t="n">
        <f aca="false">'Data Input'!S156</f>
        <v>0</v>
      </c>
      <c r="BN296" s="4" t="n">
        <f aca="false">'Data Input'!Y156</f>
        <v>18</v>
      </c>
      <c r="BO296" s="4" t="n">
        <f aca="false">IF($BM296&gt;=1,-999,MAX(($C$1-$A$1)*24,IF($BK296&lt;&gt;"",$BI296,$BP296-'Data Input'!E156)))</f>
        <v>32</v>
      </c>
      <c r="BP296" s="4" t="n">
        <f aca="false">('Data Input'!D156+'Data Input'!Y156/24-$A$1)*24</f>
        <v>37</v>
      </c>
    </row>
    <row r="297" customFormat="false" ht="11.25" hidden="false" customHeight="true" outlineLevel="0" collapsed="false">
      <c r="A297" s="34" t="n">
        <f aca="false">'Data Input'!A157</f>
        <v>11</v>
      </c>
      <c r="B297" s="35" t="str">
        <f aca="false">'Data Input'!B157</f>
        <v>Backfill Subgrade</v>
      </c>
      <c r="C297" s="36" t="str">
        <f aca="false">'Data Input'!O157</f>
        <v>Not Started</v>
      </c>
      <c r="D297" s="37" t="n">
        <f aca="false">'Data Input'!D157</f>
        <v>46311.875</v>
      </c>
      <c r="E297" s="38" t="n">
        <f aca="false">'Data Input'!D157+'Data Input'!Y157/24</f>
        <v>46312.625</v>
      </c>
      <c r="F297" s="39" t="n">
        <f aca="false">'Data Input'!Y157</f>
        <v>18</v>
      </c>
      <c r="G297" s="40" t="n">
        <f aca="false">'Data Input'!T157</f>
        <v>0</v>
      </c>
      <c r="H297" s="41" t="n">
        <f aca="false">'Data Input'!S157</f>
        <v>0</v>
      </c>
      <c r="I297" s="21"/>
      <c r="J297" s="42" t="s">
        <v>27</v>
      </c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H297" s="4" t="n">
        <f aca="false">('Data Input'!C157-$A$1)*24</f>
        <v>19</v>
      </c>
      <c r="BI297" s="4" t="n">
        <f aca="false">('Data Input'!D157-$A$1)*24</f>
        <v>21</v>
      </c>
      <c r="BJ297" s="0" t="n">
        <v>1</v>
      </c>
      <c r="BO297" s="0" t="n">
        <v>-999</v>
      </c>
      <c r="BP297" s="0" t="n">
        <v>-999</v>
      </c>
    </row>
    <row r="298" customFormat="false" ht="11.25" hidden="false" customHeight="true" outlineLevel="0" collapsed="false">
      <c r="A298" s="34"/>
      <c r="B298" s="34"/>
      <c r="C298" s="36"/>
      <c r="D298" s="37"/>
      <c r="E298" s="37"/>
      <c r="F298" s="39"/>
      <c r="G298" s="40"/>
      <c r="H298" s="40"/>
      <c r="I298" s="40"/>
      <c r="J298" s="42" t="s">
        <v>28</v>
      </c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H298" s="4" t="n">
        <f aca="false">IF($BK298="",-999,($BK298-$A$1)*24)</f>
        <v>-999</v>
      </c>
      <c r="BI298" s="4" t="n">
        <f aca="false">IF($BK298="",-999,(IF($BL298&lt;&gt;"",$BL298,IF($C$1&gt;$BK298,$C$1,$BK298+MAX('Data Input'!E157*$BM298,0.5)/24))-$A$1)*24)</f>
        <v>-999</v>
      </c>
      <c r="BJ298" s="4" t="n">
        <f aca="false">IF($BK298="",0,IF($BM298&gt;=1,IF($BN298&lt;=0,2,3),IF($BN298&lt;=0,4,5)))</f>
        <v>0</v>
      </c>
      <c r="BK298" s="0" t="str">
        <f aca="false">IF('Data Input'!Q157="","",'Data Input'!Q157)</f>
        <v/>
      </c>
      <c r="BL298" s="0" t="str">
        <f aca="false">IF('Data Input'!R157="","",'Data Input'!R157)</f>
        <v/>
      </c>
      <c r="BM298" s="4" t="n">
        <f aca="false">'Data Input'!S157</f>
        <v>0</v>
      </c>
      <c r="BN298" s="4" t="n">
        <f aca="false">'Data Input'!Y157</f>
        <v>18</v>
      </c>
      <c r="BO298" s="4" t="n">
        <f aca="false">IF($BM298&gt;=1,-999,MAX(($C$1-$A$1)*24,IF($BK298&lt;&gt;"",$BI298,$BP298-'Data Input'!E157)))</f>
        <v>37</v>
      </c>
      <c r="BP298" s="4" t="n">
        <f aca="false">('Data Input'!D157+'Data Input'!Y157/24-$A$1)*24</f>
        <v>39</v>
      </c>
    </row>
    <row r="299" customFormat="false" ht="11.25" hidden="false" customHeight="true" outlineLevel="0" collapsed="false">
      <c r="A299" s="34" t="n">
        <f aca="false">'Data Input'!A158</f>
        <v>12</v>
      </c>
      <c r="B299" s="35" t="str">
        <f aca="false">'Data Input'!B158</f>
        <v>First layer of ballast (Line 1)</v>
      </c>
      <c r="C299" s="36" t="str">
        <f aca="false">'Data Input'!O158</f>
        <v>Not Started</v>
      </c>
      <c r="D299" s="37" t="n">
        <f aca="false">'Data Input'!D158</f>
        <v>46311.9166666667</v>
      </c>
      <c r="E299" s="38" t="n">
        <f aca="false">'Data Input'!D158+'Data Input'!Y158/24</f>
        <v>46312.6666666667</v>
      </c>
      <c r="F299" s="39" t="n">
        <f aca="false">'Data Input'!Y158</f>
        <v>18</v>
      </c>
      <c r="G299" s="40" t="n">
        <f aca="false">'Data Input'!T158</f>
        <v>0</v>
      </c>
      <c r="H299" s="41" t="n">
        <f aca="false">'Data Input'!S158</f>
        <v>0</v>
      </c>
      <c r="I299" s="21"/>
      <c r="J299" s="42" t="s">
        <v>27</v>
      </c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H299" s="4" t="n">
        <f aca="false">('Data Input'!C158-$A$1)*24</f>
        <v>21</v>
      </c>
      <c r="BI299" s="4" t="n">
        <f aca="false">('Data Input'!D158-$A$1)*24</f>
        <v>22</v>
      </c>
      <c r="BJ299" s="0" t="n">
        <v>1</v>
      </c>
      <c r="BO299" s="0" t="n">
        <v>-999</v>
      </c>
      <c r="BP299" s="0" t="n">
        <v>-999</v>
      </c>
    </row>
    <row r="300" customFormat="false" ht="11.25" hidden="false" customHeight="true" outlineLevel="0" collapsed="false">
      <c r="A300" s="34"/>
      <c r="B300" s="34"/>
      <c r="C300" s="36"/>
      <c r="D300" s="37"/>
      <c r="E300" s="37"/>
      <c r="F300" s="39"/>
      <c r="G300" s="40"/>
      <c r="H300" s="40"/>
      <c r="I300" s="40"/>
      <c r="J300" s="42" t="s">
        <v>28</v>
      </c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H300" s="4" t="n">
        <f aca="false">IF($BK300="",-999,($BK300-$A$1)*24)</f>
        <v>-999</v>
      </c>
      <c r="BI300" s="4" t="n">
        <f aca="false">IF($BK300="",-999,(IF($BL300&lt;&gt;"",$BL300,IF($C$1&gt;$BK300,$C$1,$BK300+MAX('Data Input'!E158*$BM300,0.5)/24))-$A$1)*24)</f>
        <v>-999</v>
      </c>
      <c r="BJ300" s="4" t="n">
        <f aca="false">IF($BK300="",0,IF($BM300&gt;=1,IF($BN300&lt;=0,2,3),IF($BN300&lt;=0,4,5)))</f>
        <v>0</v>
      </c>
      <c r="BK300" s="0" t="str">
        <f aca="false">IF('Data Input'!Q158="","",'Data Input'!Q158)</f>
        <v/>
      </c>
      <c r="BL300" s="0" t="str">
        <f aca="false">IF('Data Input'!R158="","",'Data Input'!R158)</f>
        <v/>
      </c>
      <c r="BM300" s="4" t="n">
        <f aca="false">'Data Input'!S158</f>
        <v>0</v>
      </c>
      <c r="BN300" s="4" t="n">
        <f aca="false">'Data Input'!Y158</f>
        <v>18</v>
      </c>
      <c r="BO300" s="4" t="n">
        <f aca="false">IF($BM300&gt;=1,-999,MAX(($C$1-$A$1)*24,IF($BK300&lt;&gt;"",$BI300,$BP300-'Data Input'!E158)))</f>
        <v>39</v>
      </c>
      <c r="BP300" s="4" t="n">
        <f aca="false">('Data Input'!D158+'Data Input'!Y158/24-$A$1)*24</f>
        <v>40</v>
      </c>
    </row>
    <row r="301" customFormat="false" ht="11.25" hidden="false" customHeight="true" outlineLevel="0" collapsed="false">
      <c r="A301" s="34" t="n">
        <f aca="false">'Data Input'!A159</f>
        <v>13</v>
      </c>
      <c r="B301" s="35" t="str">
        <f aca="false">'Data Input'!B159</f>
        <v>First layer of ballast (Line 3)</v>
      </c>
      <c r="C301" s="36" t="str">
        <f aca="false">'Data Input'!O159</f>
        <v>Not Started</v>
      </c>
      <c r="D301" s="37" t="n">
        <f aca="false">'Data Input'!D159</f>
        <v>46311.9583333333</v>
      </c>
      <c r="E301" s="38" t="n">
        <f aca="false">'Data Input'!D159+'Data Input'!Y159/24</f>
        <v>46312.7083333333</v>
      </c>
      <c r="F301" s="39" t="n">
        <f aca="false">'Data Input'!Y159</f>
        <v>18</v>
      </c>
      <c r="G301" s="40" t="n">
        <f aca="false">'Data Input'!T159</f>
        <v>0</v>
      </c>
      <c r="H301" s="41" t="n">
        <f aca="false">'Data Input'!S159</f>
        <v>0</v>
      </c>
      <c r="I301" s="21"/>
      <c r="J301" s="42" t="s">
        <v>27</v>
      </c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H301" s="4" t="n">
        <f aca="false">('Data Input'!C159-$A$1)*24</f>
        <v>22</v>
      </c>
      <c r="BI301" s="4" t="n">
        <f aca="false">('Data Input'!D159-$A$1)*24</f>
        <v>23</v>
      </c>
      <c r="BJ301" s="0" t="n">
        <v>1</v>
      </c>
      <c r="BO301" s="0" t="n">
        <v>-999</v>
      </c>
      <c r="BP301" s="0" t="n">
        <v>-999</v>
      </c>
    </row>
    <row r="302" customFormat="false" ht="11.25" hidden="false" customHeight="true" outlineLevel="0" collapsed="false">
      <c r="A302" s="34"/>
      <c r="B302" s="34"/>
      <c r="C302" s="36"/>
      <c r="D302" s="37"/>
      <c r="E302" s="37"/>
      <c r="F302" s="39"/>
      <c r="G302" s="40"/>
      <c r="H302" s="40"/>
      <c r="I302" s="40"/>
      <c r="J302" s="42" t="s">
        <v>28</v>
      </c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H302" s="4" t="n">
        <f aca="false">IF($BK302="",-999,($BK302-$A$1)*24)</f>
        <v>-999</v>
      </c>
      <c r="BI302" s="4" t="n">
        <f aca="false">IF($BK302="",-999,(IF($BL302&lt;&gt;"",$BL302,IF($C$1&gt;$BK302,$C$1,$BK302+MAX('Data Input'!E159*$BM302,0.5)/24))-$A$1)*24)</f>
        <v>-999</v>
      </c>
      <c r="BJ302" s="4" t="n">
        <f aca="false">IF($BK302="",0,IF($BM302&gt;=1,IF($BN302&lt;=0,2,3),IF($BN302&lt;=0,4,5)))</f>
        <v>0</v>
      </c>
      <c r="BK302" s="0" t="str">
        <f aca="false">IF('Data Input'!Q159="","",'Data Input'!Q159)</f>
        <v/>
      </c>
      <c r="BL302" s="0" t="str">
        <f aca="false">IF('Data Input'!R159="","",'Data Input'!R159)</f>
        <v/>
      </c>
      <c r="BM302" s="4" t="n">
        <f aca="false">'Data Input'!S159</f>
        <v>0</v>
      </c>
      <c r="BN302" s="4" t="n">
        <f aca="false">'Data Input'!Y159</f>
        <v>18</v>
      </c>
      <c r="BO302" s="4" t="n">
        <f aca="false">IF($BM302&gt;=1,-999,MAX(($C$1-$A$1)*24,IF($BK302&lt;&gt;"",$BI302,$BP302-'Data Input'!E159)))</f>
        <v>40</v>
      </c>
      <c r="BP302" s="4" t="n">
        <f aca="false">('Data Input'!D159+'Data Input'!Y159/24-$A$1)*24</f>
        <v>41</v>
      </c>
    </row>
    <row r="303" customFormat="false" ht="11.25" hidden="false" customHeight="true" outlineLevel="0" collapsed="false">
      <c r="A303" s="34" t="n">
        <f aca="false">'Data Input'!A160</f>
        <v>14</v>
      </c>
      <c r="B303" s="35" t="str">
        <f aca="false">'Data Input'!B160</f>
        <v>Track installation (Line 1)</v>
      </c>
      <c r="C303" s="36" t="str">
        <f aca="false">'Data Input'!O160</f>
        <v>Not Started</v>
      </c>
      <c r="D303" s="37" t="n">
        <f aca="false">'Data Input'!D160</f>
        <v>46312</v>
      </c>
      <c r="E303" s="38" t="n">
        <f aca="false">'Data Input'!D160+'Data Input'!Y160/24</f>
        <v>46312.75</v>
      </c>
      <c r="F303" s="39" t="n">
        <f aca="false">'Data Input'!Y160</f>
        <v>18</v>
      </c>
      <c r="G303" s="40" t="n">
        <f aca="false">'Data Input'!T160</f>
        <v>0</v>
      </c>
      <c r="H303" s="41" t="n">
        <f aca="false">'Data Input'!S160</f>
        <v>0</v>
      </c>
      <c r="I303" s="21"/>
      <c r="J303" s="42" t="s">
        <v>27</v>
      </c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H303" s="4" t="n">
        <f aca="false">('Data Input'!C160-$A$1)*24</f>
        <v>23</v>
      </c>
      <c r="BI303" s="4" t="n">
        <f aca="false">('Data Input'!D160-$A$1)*24</f>
        <v>24</v>
      </c>
      <c r="BJ303" s="0" t="n">
        <v>1</v>
      </c>
      <c r="BO303" s="0" t="n">
        <v>-999</v>
      </c>
      <c r="BP303" s="0" t="n">
        <v>-999</v>
      </c>
    </row>
    <row r="304" customFormat="false" ht="11.25" hidden="false" customHeight="true" outlineLevel="0" collapsed="false">
      <c r="A304" s="34"/>
      <c r="B304" s="34"/>
      <c r="C304" s="36"/>
      <c r="D304" s="37"/>
      <c r="E304" s="37"/>
      <c r="F304" s="39"/>
      <c r="G304" s="40"/>
      <c r="H304" s="40"/>
      <c r="I304" s="40"/>
      <c r="J304" s="42" t="s">
        <v>28</v>
      </c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H304" s="4" t="n">
        <f aca="false">IF($BK304="",-999,($BK304-$A$1)*24)</f>
        <v>-999</v>
      </c>
      <c r="BI304" s="4" t="n">
        <f aca="false">IF($BK304="",-999,(IF($BL304&lt;&gt;"",$BL304,IF($C$1&gt;$BK304,$C$1,$BK304+MAX('Data Input'!E160*$BM304,0.5)/24))-$A$1)*24)</f>
        <v>-999</v>
      </c>
      <c r="BJ304" s="4" t="n">
        <f aca="false">IF($BK304="",0,IF($BM304&gt;=1,IF($BN304&lt;=0,2,3),IF($BN304&lt;=0,4,5)))</f>
        <v>0</v>
      </c>
      <c r="BK304" s="0" t="str">
        <f aca="false">IF('Data Input'!Q160="","",'Data Input'!Q160)</f>
        <v/>
      </c>
      <c r="BL304" s="0" t="str">
        <f aca="false">IF('Data Input'!R160="","",'Data Input'!R160)</f>
        <v/>
      </c>
      <c r="BM304" s="4" t="n">
        <f aca="false">'Data Input'!S160</f>
        <v>0</v>
      </c>
      <c r="BN304" s="4" t="n">
        <f aca="false">'Data Input'!Y160</f>
        <v>18</v>
      </c>
      <c r="BO304" s="4" t="n">
        <f aca="false">IF($BM304&gt;=1,-999,MAX(($C$1-$A$1)*24,IF($BK304&lt;&gt;"",$BI304,$BP304-'Data Input'!E160)))</f>
        <v>41</v>
      </c>
      <c r="BP304" s="4" t="n">
        <f aca="false">('Data Input'!D160+'Data Input'!Y160/24-$A$1)*24</f>
        <v>42</v>
      </c>
    </row>
    <row r="305" customFormat="false" ht="11.25" hidden="false" customHeight="true" outlineLevel="0" collapsed="false">
      <c r="A305" s="34" t="n">
        <f aca="false">'Data Input'!A161</f>
        <v>15</v>
      </c>
      <c r="B305" s="35" t="str">
        <f aca="false">'Data Input'!B161</f>
        <v>Track installation (Line 3)</v>
      </c>
      <c r="C305" s="36" t="str">
        <f aca="false">'Data Input'!O161</f>
        <v>Not Started</v>
      </c>
      <c r="D305" s="37" t="n">
        <f aca="false">'Data Input'!D161</f>
        <v>46312.0416666667</v>
      </c>
      <c r="E305" s="38" t="n">
        <f aca="false">'Data Input'!D161+'Data Input'!Y161/24</f>
        <v>46312.7916666667</v>
      </c>
      <c r="F305" s="39" t="n">
        <f aca="false">'Data Input'!Y161</f>
        <v>18</v>
      </c>
      <c r="G305" s="40" t="n">
        <f aca="false">'Data Input'!T161</f>
        <v>0</v>
      </c>
      <c r="H305" s="41" t="n">
        <f aca="false">'Data Input'!S161</f>
        <v>0</v>
      </c>
      <c r="I305" s="21"/>
      <c r="J305" s="42" t="s">
        <v>27</v>
      </c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H305" s="4" t="n">
        <f aca="false">('Data Input'!C161-$A$1)*24</f>
        <v>24</v>
      </c>
      <c r="BI305" s="4" t="n">
        <f aca="false">('Data Input'!D161-$A$1)*24</f>
        <v>25</v>
      </c>
      <c r="BJ305" s="0" t="n">
        <v>1</v>
      </c>
      <c r="BO305" s="0" t="n">
        <v>-999</v>
      </c>
      <c r="BP305" s="0" t="n">
        <v>-999</v>
      </c>
    </row>
    <row r="306" customFormat="false" ht="11.25" hidden="false" customHeight="true" outlineLevel="0" collapsed="false">
      <c r="A306" s="34"/>
      <c r="B306" s="34"/>
      <c r="C306" s="36"/>
      <c r="D306" s="37"/>
      <c r="E306" s="37"/>
      <c r="F306" s="39"/>
      <c r="G306" s="40"/>
      <c r="H306" s="40"/>
      <c r="I306" s="40"/>
      <c r="J306" s="42" t="s">
        <v>28</v>
      </c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H306" s="4" t="n">
        <f aca="false">IF($BK306="",-999,($BK306-$A$1)*24)</f>
        <v>-999</v>
      </c>
      <c r="BI306" s="4" t="n">
        <f aca="false">IF($BK306="",-999,(IF($BL306&lt;&gt;"",$BL306,IF($C$1&gt;$BK306,$C$1,$BK306+MAX('Data Input'!E161*$BM306,0.5)/24))-$A$1)*24)</f>
        <v>-999</v>
      </c>
      <c r="BJ306" s="4" t="n">
        <f aca="false">IF($BK306="",0,IF($BM306&gt;=1,IF($BN306&lt;=0,2,3),IF($BN306&lt;=0,4,5)))</f>
        <v>0</v>
      </c>
      <c r="BK306" s="0" t="str">
        <f aca="false">IF('Data Input'!Q161="","",'Data Input'!Q161)</f>
        <v/>
      </c>
      <c r="BL306" s="0" t="str">
        <f aca="false">IF('Data Input'!R161="","",'Data Input'!R161)</f>
        <v/>
      </c>
      <c r="BM306" s="4" t="n">
        <f aca="false">'Data Input'!S161</f>
        <v>0</v>
      </c>
      <c r="BN306" s="4" t="n">
        <f aca="false">'Data Input'!Y161</f>
        <v>18</v>
      </c>
      <c r="BO306" s="4" t="n">
        <f aca="false">IF($BM306&gt;=1,-999,MAX(($C$1-$A$1)*24,IF($BK306&lt;&gt;"",$BI306,$BP306-'Data Input'!E161)))</f>
        <v>42</v>
      </c>
      <c r="BP306" s="4" t="n">
        <f aca="false">('Data Input'!D161+'Data Input'!Y161/24-$A$1)*24</f>
        <v>43</v>
      </c>
    </row>
    <row r="307" customFormat="false" ht="11.25" hidden="false" customHeight="true" outlineLevel="0" collapsed="false">
      <c r="A307" s="34" t="n">
        <f aca="false">'Data Input'!A162</f>
        <v>16</v>
      </c>
      <c r="B307" s="35" t="str">
        <f aca="false">'Data Input'!B162</f>
        <v>1st &amp; 2nd Ballasting / Tamping (Line 1)</v>
      </c>
      <c r="C307" s="36" t="str">
        <f aca="false">'Data Input'!O162</f>
        <v>Not Started</v>
      </c>
      <c r="D307" s="37" t="n">
        <f aca="false">'Data Input'!D162</f>
        <v>46312.0833333333</v>
      </c>
      <c r="E307" s="38" t="n">
        <f aca="false">'Data Input'!D162+'Data Input'!Y162/24</f>
        <v>46312.8333333333</v>
      </c>
      <c r="F307" s="39" t="n">
        <f aca="false">'Data Input'!Y162</f>
        <v>18</v>
      </c>
      <c r="G307" s="40" t="n">
        <f aca="false">'Data Input'!T162</f>
        <v>0</v>
      </c>
      <c r="H307" s="41" t="n">
        <f aca="false">'Data Input'!S162</f>
        <v>0</v>
      </c>
      <c r="I307" s="21"/>
      <c r="J307" s="42" t="s">
        <v>27</v>
      </c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H307" s="4" t="n">
        <f aca="false">('Data Input'!C162-$A$1)*24</f>
        <v>25</v>
      </c>
      <c r="BI307" s="4" t="n">
        <f aca="false">('Data Input'!D162-$A$1)*24</f>
        <v>26</v>
      </c>
      <c r="BJ307" s="0" t="n">
        <v>1</v>
      </c>
      <c r="BO307" s="0" t="n">
        <v>-999</v>
      </c>
      <c r="BP307" s="0" t="n">
        <v>-999</v>
      </c>
    </row>
    <row r="308" customFormat="false" ht="11.25" hidden="false" customHeight="true" outlineLevel="0" collapsed="false">
      <c r="A308" s="34"/>
      <c r="B308" s="34"/>
      <c r="C308" s="36"/>
      <c r="D308" s="37"/>
      <c r="E308" s="37"/>
      <c r="F308" s="39"/>
      <c r="G308" s="40"/>
      <c r="H308" s="40"/>
      <c r="I308" s="40"/>
      <c r="J308" s="42" t="s">
        <v>28</v>
      </c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H308" s="4" t="n">
        <f aca="false">IF($BK308="",-999,($BK308-$A$1)*24)</f>
        <v>-999</v>
      </c>
      <c r="BI308" s="4" t="n">
        <f aca="false">IF($BK308="",-999,(IF($BL308&lt;&gt;"",$BL308,IF($C$1&gt;$BK308,$C$1,$BK308+MAX('Data Input'!E162*$BM308,0.5)/24))-$A$1)*24)</f>
        <v>-999</v>
      </c>
      <c r="BJ308" s="4" t="n">
        <f aca="false">IF($BK308="",0,IF($BM308&gt;=1,IF($BN308&lt;=0,2,3),IF($BN308&lt;=0,4,5)))</f>
        <v>0</v>
      </c>
      <c r="BK308" s="0" t="str">
        <f aca="false">IF('Data Input'!Q162="","",'Data Input'!Q162)</f>
        <v/>
      </c>
      <c r="BL308" s="0" t="str">
        <f aca="false">IF('Data Input'!R162="","",'Data Input'!R162)</f>
        <v/>
      </c>
      <c r="BM308" s="4" t="n">
        <f aca="false">'Data Input'!S162</f>
        <v>0</v>
      </c>
      <c r="BN308" s="4" t="n">
        <f aca="false">'Data Input'!Y162</f>
        <v>18</v>
      </c>
      <c r="BO308" s="4" t="n">
        <f aca="false">IF($BM308&gt;=1,-999,MAX(($C$1-$A$1)*24,IF($BK308&lt;&gt;"",$BI308,$BP308-'Data Input'!E162)))</f>
        <v>43</v>
      </c>
      <c r="BP308" s="4" t="n">
        <f aca="false">('Data Input'!D162+'Data Input'!Y162/24-$A$1)*24</f>
        <v>44</v>
      </c>
    </row>
    <row r="309" customFormat="false" ht="11.25" hidden="false" customHeight="true" outlineLevel="0" collapsed="false">
      <c r="A309" s="34" t="n">
        <f aca="false">'Data Input'!A163</f>
        <v>17</v>
      </c>
      <c r="B309" s="35" t="str">
        <f aca="false">'Data Input'!B163</f>
        <v>Final Ballasting / Tamping (Line 1)</v>
      </c>
      <c r="C309" s="36" t="str">
        <f aca="false">'Data Input'!O163</f>
        <v>Not Started</v>
      </c>
      <c r="D309" s="37" t="n">
        <f aca="false">'Data Input'!D163</f>
        <v>46312.125</v>
      </c>
      <c r="E309" s="38" t="n">
        <f aca="false">'Data Input'!D163+'Data Input'!Y163/24</f>
        <v>46312.875</v>
      </c>
      <c r="F309" s="39" t="n">
        <f aca="false">'Data Input'!Y163</f>
        <v>18</v>
      </c>
      <c r="G309" s="40" t="n">
        <f aca="false">'Data Input'!T163</f>
        <v>0</v>
      </c>
      <c r="H309" s="41" t="n">
        <f aca="false">'Data Input'!S163</f>
        <v>0</v>
      </c>
      <c r="I309" s="21"/>
      <c r="J309" s="42" t="s">
        <v>27</v>
      </c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H309" s="4" t="n">
        <f aca="false">('Data Input'!C163-$A$1)*24</f>
        <v>26</v>
      </c>
      <c r="BI309" s="4" t="n">
        <f aca="false">('Data Input'!D163-$A$1)*24</f>
        <v>27</v>
      </c>
      <c r="BJ309" s="0" t="n">
        <v>1</v>
      </c>
      <c r="BO309" s="0" t="n">
        <v>-999</v>
      </c>
      <c r="BP309" s="0" t="n">
        <v>-999</v>
      </c>
    </row>
    <row r="310" customFormat="false" ht="11.25" hidden="false" customHeight="true" outlineLevel="0" collapsed="false">
      <c r="A310" s="34"/>
      <c r="B310" s="34"/>
      <c r="C310" s="36"/>
      <c r="D310" s="37"/>
      <c r="E310" s="37"/>
      <c r="F310" s="39"/>
      <c r="G310" s="40"/>
      <c r="H310" s="40"/>
      <c r="I310" s="40"/>
      <c r="J310" s="42" t="s">
        <v>28</v>
      </c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H310" s="4" t="n">
        <f aca="false">IF($BK310="",-999,($BK310-$A$1)*24)</f>
        <v>-999</v>
      </c>
      <c r="BI310" s="4" t="n">
        <f aca="false">IF($BK310="",-999,(IF($BL310&lt;&gt;"",$BL310,IF($C$1&gt;$BK310,$C$1,$BK310+MAX('Data Input'!E163*$BM310,0.5)/24))-$A$1)*24)</f>
        <v>-999</v>
      </c>
      <c r="BJ310" s="4" t="n">
        <f aca="false">IF($BK310="",0,IF($BM310&gt;=1,IF($BN310&lt;=0,2,3),IF($BN310&lt;=0,4,5)))</f>
        <v>0</v>
      </c>
      <c r="BK310" s="0" t="str">
        <f aca="false">IF('Data Input'!Q163="","",'Data Input'!Q163)</f>
        <v/>
      </c>
      <c r="BL310" s="0" t="str">
        <f aca="false">IF('Data Input'!R163="","",'Data Input'!R163)</f>
        <v/>
      </c>
      <c r="BM310" s="4" t="n">
        <f aca="false">'Data Input'!S163</f>
        <v>0</v>
      </c>
      <c r="BN310" s="4" t="n">
        <f aca="false">'Data Input'!Y163</f>
        <v>18</v>
      </c>
      <c r="BO310" s="4" t="n">
        <f aca="false">IF($BM310&gt;=1,-999,MAX(($C$1-$A$1)*24,IF($BK310&lt;&gt;"",$BI310,$BP310-'Data Input'!E163)))</f>
        <v>44</v>
      </c>
      <c r="BP310" s="4" t="n">
        <f aca="false">('Data Input'!D163+'Data Input'!Y163/24-$A$1)*24</f>
        <v>45</v>
      </c>
    </row>
    <row r="311" customFormat="false" ht="11.25" hidden="false" customHeight="true" outlineLevel="0" collapsed="false">
      <c r="A311" s="34" t="n">
        <f aca="false">'Data Input'!A164</f>
        <v>18</v>
      </c>
      <c r="B311" s="35" t="str">
        <f aca="false">'Data Input'!B164</f>
        <v>OTMP moves from line 1 to line 3 (passing by Station 33)</v>
      </c>
      <c r="C311" s="36" t="str">
        <f aca="false">'Data Input'!O164</f>
        <v>Not Started</v>
      </c>
      <c r="D311" s="37" t="n">
        <f aca="false">'Data Input'!D164</f>
        <v>46312.2083333333</v>
      </c>
      <c r="E311" s="38" t="n">
        <f aca="false">'Data Input'!D164+'Data Input'!Y164/24</f>
        <v>46312.9583333333</v>
      </c>
      <c r="F311" s="39" t="n">
        <f aca="false">'Data Input'!Y164</f>
        <v>18</v>
      </c>
      <c r="G311" s="40" t="n">
        <f aca="false">'Data Input'!T164</f>
        <v>0</v>
      </c>
      <c r="H311" s="41" t="n">
        <f aca="false">'Data Input'!S164</f>
        <v>0</v>
      </c>
      <c r="I311" s="21"/>
      <c r="J311" s="42" t="s">
        <v>27</v>
      </c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H311" s="4" t="n">
        <f aca="false">('Data Input'!C164-$A$1)*24</f>
        <v>27</v>
      </c>
      <c r="BI311" s="4" t="n">
        <f aca="false">('Data Input'!D164-$A$1)*24</f>
        <v>29</v>
      </c>
      <c r="BJ311" s="0" t="n">
        <v>1</v>
      </c>
      <c r="BO311" s="0" t="n">
        <v>-999</v>
      </c>
      <c r="BP311" s="0" t="n">
        <v>-999</v>
      </c>
    </row>
    <row r="312" customFormat="false" ht="11.25" hidden="false" customHeight="true" outlineLevel="0" collapsed="false">
      <c r="A312" s="34"/>
      <c r="B312" s="34"/>
      <c r="C312" s="36"/>
      <c r="D312" s="37"/>
      <c r="E312" s="37"/>
      <c r="F312" s="39"/>
      <c r="G312" s="40"/>
      <c r="H312" s="40"/>
      <c r="I312" s="40"/>
      <c r="J312" s="42" t="s">
        <v>28</v>
      </c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H312" s="4" t="n">
        <f aca="false">IF($BK312="",-999,($BK312-$A$1)*24)</f>
        <v>-999</v>
      </c>
      <c r="BI312" s="4" t="n">
        <f aca="false">IF($BK312="",-999,(IF($BL312&lt;&gt;"",$BL312,IF($C$1&gt;$BK312,$C$1,$BK312+MAX('Data Input'!E164*$BM312,0.5)/24))-$A$1)*24)</f>
        <v>-999</v>
      </c>
      <c r="BJ312" s="4" t="n">
        <f aca="false">IF($BK312="",0,IF($BM312&gt;=1,IF($BN312&lt;=0,2,3),IF($BN312&lt;=0,4,5)))</f>
        <v>0</v>
      </c>
      <c r="BK312" s="0" t="str">
        <f aca="false">IF('Data Input'!Q164="","",'Data Input'!Q164)</f>
        <v/>
      </c>
      <c r="BL312" s="0" t="str">
        <f aca="false">IF('Data Input'!R164="","",'Data Input'!R164)</f>
        <v/>
      </c>
      <c r="BM312" s="4" t="n">
        <f aca="false">'Data Input'!S164</f>
        <v>0</v>
      </c>
      <c r="BN312" s="4" t="n">
        <f aca="false">'Data Input'!Y164</f>
        <v>18</v>
      </c>
      <c r="BO312" s="4" t="n">
        <f aca="false">IF($BM312&gt;=1,-999,MAX(($C$1-$A$1)*24,IF($BK312&lt;&gt;"",$BI312,$BP312-'Data Input'!E164)))</f>
        <v>45</v>
      </c>
      <c r="BP312" s="4" t="n">
        <f aca="false">('Data Input'!D164+'Data Input'!Y164/24-$A$1)*24</f>
        <v>47</v>
      </c>
    </row>
    <row r="313" customFormat="false" ht="11.25" hidden="false" customHeight="true" outlineLevel="0" collapsed="false">
      <c r="A313" s="34" t="n">
        <f aca="false">'Data Input'!A165</f>
        <v>19</v>
      </c>
      <c r="B313" s="35" t="str">
        <f aca="false">'Data Input'!B165</f>
        <v>ATW – 2U (out of destressing) (Line 1)</v>
      </c>
      <c r="C313" s="36" t="str">
        <f aca="false">'Data Input'!O165</f>
        <v>Not Started</v>
      </c>
      <c r="D313" s="37" t="n">
        <f aca="false">'Data Input'!D165</f>
        <v>46312.2916666667</v>
      </c>
      <c r="E313" s="38" t="n">
        <f aca="false">'Data Input'!D165+'Data Input'!Y165/24</f>
        <v>46313.0416666667</v>
      </c>
      <c r="F313" s="39" t="n">
        <f aca="false">'Data Input'!Y165</f>
        <v>18</v>
      </c>
      <c r="G313" s="40" t="n">
        <f aca="false">'Data Input'!T165</f>
        <v>0</v>
      </c>
      <c r="H313" s="41" t="n">
        <f aca="false">'Data Input'!S165</f>
        <v>0</v>
      </c>
      <c r="I313" s="21"/>
      <c r="J313" s="42" t="s">
        <v>27</v>
      </c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H313" s="4" t="n">
        <f aca="false">('Data Input'!C165-$A$1)*24</f>
        <v>29</v>
      </c>
      <c r="BI313" s="4" t="n">
        <f aca="false">('Data Input'!D165-$A$1)*24</f>
        <v>31</v>
      </c>
      <c r="BJ313" s="0" t="n">
        <v>1</v>
      </c>
      <c r="BO313" s="0" t="n">
        <v>-999</v>
      </c>
      <c r="BP313" s="0" t="n">
        <v>-999</v>
      </c>
    </row>
    <row r="314" customFormat="false" ht="11.25" hidden="false" customHeight="true" outlineLevel="0" collapsed="false">
      <c r="A314" s="34"/>
      <c r="B314" s="34"/>
      <c r="C314" s="36"/>
      <c r="D314" s="37"/>
      <c r="E314" s="37"/>
      <c r="F314" s="39"/>
      <c r="G314" s="40"/>
      <c r="H314" s="40"/>
      <c r="I314" s="40"/>
      <c r="J314" s="42" t="s">
        <v>28</v>
      </c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H314" s="4" t="n">
        <f aca="false">IF($BK314="",-999,($BK314-$A$1)*24)</f>
        <v>-999</v>
      </c>
      <c r="BI314" s="4" t="n">
        <f aca="false">IF($BK314="",-999,(IF($BL314&lt;&gt;"",$BL314,IF($C$1&gt;$BK314,$C$1,$BK314+MAX('Data Input'!E165*$BM314,0.5)/24))-$A$1)*24)</f>
        <v>-999</v>
      </c>
      <c r="BJ314" s="4" t="n">
        <f aca="false">IF($BK314="",0,IF($BM314&gt;=1,IF($BN314&lt;=0,2,3),IF($BN314&lt;=0,4,5)))</f>
        <v>0</v>
      </c>
      <c r="BK314" s="0" t="str">
        <f aca="false">IF('Data Input'!Q165="","",'Data Input'!Q165)</f>
        <v/>
      </c>
      <c r="BL314" s="0" t="str">
        <f aca="false">IF('Data Input'!R165="","",'Data Input'!R165)</f>
        <v/>
      </c>
      <c r="BM314" s="4" t="n">
        <f aca="false">'Data Input'!S165</f>
        <v>0</v>
      </c>
      <c r="BN314" s="4" t="n">
        <f aca="false">'Data Input'!Y165</f>
        <v>18</v>
      </c>
      <c r="BO314" s="4" t="n">
        <f aca="false">IF($BM314&gt;=1,-999,MAX(($C$1-$A$1)*24,IF($BK314&lt;&gt;"",$BI314,$BP314-'Data Input'!E165)))</f>
        <v>47</v>
      </c>
      <c r="BP314" s="4" t="n">
        <f aca="false">('Data Input'!D165+'Data Input'!Y165/24-$A$1)*24</f>
        <v>49</v>
      </c>
    </row>
    <row r="315" customFormat="false" ht="11.25" hidden="false" customHeight="true" outlineLevel="0" collapsed="false">
      <c r="A315" s="34" t="n">
        <f aca="false">'Data Input'!A166</f>
        <v>20</v>
      </c>
      <c r="B315" s="35" t="str">
        <f aca="false">'Data Input'!B166</f>
        <v>ATW – 2U (out of destressing) (Line 3)</v>
      </c>
      <c r="C315" s="36" t="str">
        <f aca="false">'Data Input'!O166</f>
        <v>Not Started</v>
      </c>
      <c r="D315" s="37" t="n">
        <f aca="false">'Data Input'!D166</f>
        <v>46312.375</v>
      </c>
      <c r="E315" s="38" t="n">
        <f aca="false">'Data Input'!D166+'Data Input'!Y166/24</f>
        <v>46313.125</v>
      </c>
      <c r="F315" s="39" t="n">
        <f aca="false">'Data Input'!Y166</f>
        <v>18</v>
      </c>
      <c r="G315" s="40" t="n">
        <f aca="false">'Data Input'!T166</f>
        <v>0</v>
      </c>
      <c r="H315" s="41" t="n">
        <f aca="false">'Data Input'!S166</f>
        <v>0</v>
      </c>
      <c r="I315" s="21"/>
      <c r="J315" s="42" t="s">
        <v>27</v>
      </c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H315" s="4" t="n">
        <f aca="false">('Data Input'!C166-$A$1)*24</f>
        <v>31</v>
      </c>
      <c r="BI315" s="4" t="n">
        <f aca="false">('Data Input'!D166-$A$1)*24</f>
        <v>33</v>
      </c>
      <c r="BJ315" s="0" t="n">
        <v>1</v>
      </c>
      <c r="BO315" s="0" t="n">
        <v>-999</v>
      </c>
      <c r="BP315" s="0" t="n">
        <v>-999</v>
      </c>
    </row>
    <row r="316" customFormat="false" ht="11.25" hidden="false" customHeight="true" outlineLevel="0" collapsed="false">
      <c r="A316" s="34"/>
      <c r="B316" s="34"/>
      <c r="C316" s="36"/>
      <c r="D316" s="37"/>
      <c r="E316" s="37"/>
      <c r="F316" s="39"/>
      <c r="G316" s="40"/>
      <c r="H316" s="40"/>
      <c r="I316" s="40"/>
      <c r="J316" s="42" t="s">
        <v>28</v>
      </c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H316" s="4" t="n">
        <f aca="false">IF($BK316="",-999,($BK316-$A$1)*24)</f>
        <v>-999</v>
      </c>
      <c r="BI316" s="4" t="n">
        <f aca="false">IF($BK316="",-999,(IF($BL316&lt;&gt;"",$BL316,IF($C$1&gt;$BK316,$C$1,$BK316+MAX('Data Input'!E166*$BM316,0.5)/24))-$A$1)*24)</f>
        <v>-999</v>
      </c>
      <c r="BJ316" s="4" t="n">
        <f aca="false">IF($BK316="",0,IF($BM316&gt;=1,IF($BN316&lt;=0,2,3),IF($BN316&lt;=0,4,5)))</f>
        <v>0</v>
      </c>
      <c r="BK316" s="0" t="str">
        <f aca="false">IF('Data Input'!Q166="","",'Data Input'!Q166)</f>
        <v/>
      </c>
      <c r="BL316" s="0" t="str">
        <f aca="false">IF('Data Input'!R166="","",'Data Input'!R166)</f>
        <v/>
      </c>
      <c r="BM316" s="4" t="n">
        <f aca="false">'Data Input'!S166</f>
        <v>0</v>
      </c>
      <c r="BN316" s="4" t="n">
        <f aca="false">'Data Input'!Y166</f>
        <v>18</v>
      </c>
      <c r="BO316" s="4" t="n">
        <f aca="false">IF($BM316&gt;=1,-999,MAX(($C$1-$A$1)*24,IF($BK316&lt;&gt;"",$BI316,$BP316-'Data Input'!E166)))</f>
        <v>49</v>
      </c>
      <c r="BP316" s="4" t="n">
        <f aca="false">('Data Input'!D166+'Data Input'!Y166/24-$A$1)*24</f>
        <v>51</v>
      </c>
    </row>
    <row r="317" customFormat="false" ht="11.25" hidden="false" customHeight="true" outlineLevel="0" collapsed="false">
      <c r="A317" s="34" t="n">
        <f aca="false">'Data Input'!A167</f>
        <v>21</v>
      </c>
      <c r="B317" s="35" t="str">
        <f aca="false">'Data Input'!B167</f>
        <v>1st &amp; 2nd Ballasting / Tamping (Line 3)</v>
      </c>
      <c r="C317" s="36" t="str">
        <f aca="false">'Data Input'!O167</f>
        <v>Not Started</v>
      </c>
      <c r="D317" s="37" t="n">
        <f aca="false">'Data Input'!D167</f>
        <v>46312.4166666667</v>
      </c>
      <c r="E317" s="38" t="n">
        <f aca="false">'Data Input'!D167+'Data Input'!Y167/24</f>
        <v>46313.1666666667</v>
      </c>
      <c r="F317" s="39" t="n">
        <f aca="false">'Data Input'!Y167</f>
        <v>18</v>
      </c>
      <c r="G317" s="40" t="n">
        <f aca="false">'Data Input'!T167</f>
        <v>0</v>
      </c>
      <c r="H317" s="41" t="n">
        <f aca="false">'Data Input'!S167</f>
        <v>0</v>
      </c>
      <c r="I317" s="21"/>
      <c r="J317" s="42" t="s">
        <v>27</v>
      </c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H317" s="4" t="n">
        <f aca="false">('Data Input'!C167-$A$1)*24</f>
        <v>33</v>
      </c>
      <c r="BI317" s="4" t="n">
        <f aca="false">('Data Input'!D167-$A$1)*24</f>
        <v>34</v>
      </c>
      <c r="BJ317" s="0" t="n">
        <v>1</v>
      </c>
      <c r="BO317" s="0" t="n">
        <v>-999</v>
      </c>
      <c r="BP317" s="0" t="n">
        <v>-999</v>
      </c>
    </row>
    <row r="318" customFormat="false" ht="11.25" hidden="false" customHeight="true" outlineLevel="0" collapsed="false">
      <c r="A318" s="34"/>
      <c r="B318" s="34"/>
      <c r="C318" s="36"/>
      <c r="D318" s="37"/>
      <c r="E318" s="37"/>
      <c r="F318" s="39"/>
      <c r="G318" s="40"/>
      <c r="H318" s="40"/>
      <c r="I318" s="40"/>
      <c r="J318" s="42" t="s">
        <v>28</v>
      </c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H318" s="4" t="n">
        <f aca="false">IF($BK318="",-999,($BK318-$A$1)*24)</f>
        <v>-999</v>
      </c>
      <c r="BI318" s="4" t="n">
        <f aca="false">IF($BK318="",-999,(IF($BL318&lt;&gt;"",$BL318,IF($C$1&gt;$BK318,$C$1,$BK318+MAX('Data Input'!E167*$BM318,0.5)/24))-$A$1)*24)</f>
        <v>-999</v>
      </c>
      <c r="BJ318" s="4" t="n">
        <f aca="false">IF($BK318="",0,IF($BM318&gt;=1,IF($BN318&lt;=0,2,3),IF($BN318&lt;=0,4,5)))</f>
        <v>0</v>
      </c>
      <c r="BK318" s="0" t="str">
        <f aca="false">IF('Data Input'!Q167="","",'Data Input'!Q167)</f>
        <v/>
      </c>
      <c r="BL318" s="0" t="str">
        <f aca="false">IF('Data Input'!R167="","",'Data Input'!R167)</f>
        <v/>
      </c>
      <c r="BM318" s="4" t="n">
        <f aca="false">'Data Input'!S167</f>
        <v>0</v>
      </c>
      <c r="BN318" s="4" t="n">
        <f aca="false">'Data Input'!Y167</f>
        <v>18</v>
      </c>
      <c r="BO318" s="4" t="n">
        <f aca="false">IF($BM318&gt;=1,-999,MAX(($C$1-$A$1)*24,IF($BK318&lt;&gt;"",$BI318,$BP318-'Data Input'!E167)))</f>
        <v>51</v>
      </c>
      <c r="BP318" s="4" t="n">
        <f aca="false">('Data Input'!D167+'Data Input'!Y167/24-$A$1)*24</f>
        <v>52</v>
      </c>
    </row>
    <row r="319" customFormat="false" ht="11.25" hidden="false" customHeight="true" outlineLevel="0" collapsed="false">
      <c r="A319" s="34" t="n">
        <f aca="false">'Data Input'!A168</f>
        <v>22</v>
      </c>
      <c r="B319" s="35" t="str">
        <f aca="false">'Data Input'!B168</f>
        <v>Final Ballasting / Tamping (Line 3)</v>
      </c>
      <c r="C319" s="36" t="str">
        <f aca="false">'Data Input'!O168</f>
        <v>Not Started</v>
      </c>
      <c r="D319" s="37" t="n">
        <f aca="false">'Data Input'!D168</f>
        <v>46312.4583333333</v>
      </c>
      <c r="E319" s="38" t="n">
        <f aca="false">'Data Input'!D168+'Data Input'!Y168/24</f>
        <v>46313.2083333333</v>
      </c>
      <c r="F319" s="39" t="n">
        <f aca="false">'Data Input'!Y168</f>
        <v>18</v>
      </c>
      <c r="G319" s="40" t="n">
        <f aca="false">'Data Input'!T168</f>
        <v>0</v>
      </c>
      <c r="H319" s="41" t="n">
        <f aca="false">'Data Input'!S168</f>
        <v>0</v>
      </c>
      <c r="I319" s="21"/>
      <c r="J319" s="42" t="s">
        <v>27</v>
      </c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H319" s="4" t="n">
        <f aca="false">('Data Input'!C168-$A$1)*24</f>
        <v>34</v>
      </c>
      <c r="BI319" s="4" t="n">
        <f aca="false">('Data Input'!D168-$A$1)*24</f>
        <v>35</v>
      </c>
      <c r="BJ319" s="0" t="n">
        <v>1</v>
      </c>
      <c r="BO319" s="0" t="n">
        <v>-999</v>
      </c>
      <c r="BP319" s="0" t="n">
        <v>-999</v>
      </c>
    </row>
    <row r="320" customFormat="false" ht="11.25" hidden="false" customHeight="true" outlineLevel="0" collapsed="false">
      <c r="A320" s="34"/>
      <c r="B320" s="34"/>
      <c r="C320" s="36"/>
      <c r="D320" s="37"/>
      <c r="E320" s="37"/>
      <c r="F320" s="39"/>
      <c r="G320" s="40"/>
      <c r="H320" s="40"/>
      <c r="I320" s="40"/>
      <c r="J320" s="42" t="s">
        <v>28</v>
      </c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H320" s="4" t="n">
        <f aca="false">IF($BK320="",-999,($BK320-$A$1)*24)</f>
        <v>-999</v>
      </c>
      <c r="BI320" s="4" t="n">
        <f aca="false">IF($BK320="",-999,(IF($BL320&lt;&gt;"",$BL320,IF($C$1&gt;$BK320,$C$1,$BK320+MAX('Data Input'!E168*$BM320,0.5)/24))-$A$1)*24)</f>
        <v>-999</v>
      </c>
      <c r="BJ320" s="4" t="n">
        <f aca="false">IF($BK320="",0,IF($BM320&gt;=1,IF($BN320&lt;=0,2,3),IF($BN320&lt;=0,4,5)))</f>
        <v>0</v>
      </c>
      <c r="BK320" s="0" t="str">
        <f aca="false">IF('Data Input'!Q168="","",'Data Input'!Q168)</f>
        <v/>
      </c>
      <c r="BL320" s="0" t="str">
        <f aca="false">IF('Data Input'!R168="","",'Data Input'!R168)</f>
        <v/>
      </c>
      <c r="BM320" s="4" t="n">
        <f aca="false">'Data Input'!S168</f>
        <v>0</v>
      </c>
      <c r="BN320" s="4" t="n">
        <f aca="false">'Data Input'!Y168</f>
        <v>18</v>
      </c>
      <c r="BO320" s="4" t="n">
        <f aca="false">IF($BM320&gt;=1,-999,MAX(($C$1-$A$1)*24,IF($BK320&lt;&gt;"",$BI320,$BP320-'Data Input'!E168)))</f>
        <v>52</v>
      </c>
      <c r="BP320" s="4" t="n">
        <f aca="false">('Data Input'!D168+'Data Input'!Y168/24-$A$1)*24</f>
        <v>53</v>
      </c>
    </row>
    <row r="321" customFormat="false" ht="11.25" hidden="false" customHeight="true" outlineLevel="0" collapsed="false">
      <c r="A321" s="34" t="n">
        <f aca="false">'Data Input'!A169</f>
        <v>23</v>
      </c>
      <c r="B321" s="35" t="str">
        <f aca="false">'Data Input'!B169</f>
        <v>OTMP Back towards station 35</v>
      </c>
      <c r="C321" s="36" t="str">
        <f aca="false">'Data Input'!O169</f>
        <v>Not Started</v>
      </c>
      <c r="D321" s="37" t="n">
        <f aca="false">'Data Input'!D169</f>
        <v>46312.5416666667</v>
      </c>
      <c r="E321" s="38" t="n">
        <f aca="false">'Data Input'!D169+'Data Input'!Y169/24</f>
        <v>46313.2916666667</v>
      </c>
      <c r="F321" s="39" t="n">
        <f aca="false">'Data Input'!Y169</f>
        <v>18</v>
      </c>
      <c r="G321" s="40" t="n">
        <f aca="false">'Data Input'!T169</f>
        <v>0</v>
      </c>
      <c r="H321" s="41" t="n">
        <f aca="false">'Data Input'!S169</f>
        <v>0</v>
      </c>
      <c r="I321" s="21"/>
      <c r="J321" s="42" t="s">
        <v>27</v>
      </c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H321" s="4" t="n">
        <f aca="false">('Data Input'!C169-$A$1)*24</f>
        <v>35</v>
      </c>
      <c r="BI321" s="4" t="n">
        <f aca="false">('Data Input'!D169-$A$1)*24</f>
        <v>37</v>
      </c>
      <c r="BJ321" s="0" t="n">
        <v>1</v>
      </c>
      <c r="BO321" s="0" t="n">
        <v>-999</v>
      </c>
      <c r="BP321" s="0" t="n">
        <v>-999</v>
      </c>
    </row>
    <row r="322" customFormat="false" ht="11.25" hidden="false" customHeight="true" outlineLevel="0" collapsed="false">
      <c r="A322" s="34"/>
      <c r="B322" s="34"/>
      <c r="C322" s="36"/>
      <c r="D322" s="37"/>
      <c r="E322" s="37"/>
      <c r="F322" s="39"/>
      <c r="G322" s="40"/>
      <c r="H322" s="40"/>
      <c r="I322" s="40"/>
      <c r="J322" s="42" t="s">
        <v>28</v>
      </c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H322" s="4" t="n">
        <f aca="false">IF($BK322="",-999,($BK322-$A$1)*24)</f>
        <v>-999</v>
      </c>
      <c r="BI322" s="4" t="n">
        <f aca="false">IF($BK322="",-999,(IF($BL322&lt;&gt;"",$BL322,IF($C$1&gt;$BK322,$C$1,$BK322+MAX('Data Input'!E169*$BM322,0.5)/24))-$A$1)*24)</f>
        <v>-999</v>
      </c>
      <c r="BJ322" s="4" t="n">
        <f aca="false">IF($BK322="",0,IF($BM322&gt;=1,IF($BN322&lt;=0,2,3),IF($BN322&lt;=0,4,5)))</f>
        <v>0</v>
      </c>
      <c r="BK322" s="0" t="str">
        <f aca="false">IF('Data Input'!Q169="","",'Data Input'!Q169)</f>
        <v/>
      </c>
      <c r="BL322" s="0" t="str">
        <f aca="false">IF('Data Input'!R169="","",'Data Input'!R169)</f>
        <v/>
      </c>
      <c r="BM322" s="4" t="n">
        <f aca="false">'Data Input'!S169</f>
        <v>0</v>
      </c>
      <c r="BN322" s="4" t="n">
        <f aca="false">'Data Input'!Y169</f>
        <v>18</v>
      </c>
      <c r="BO322" s="4" t="n">
        <f aca="false">IF($BM322&gt;=1,-999,MAX(($C$1-$A$1)*24,IF($BK322&lt;&gt;"",$BI322,$BP322-'Data Input'!E169)))</f>
        <v>53</v>
      </c>
      <c r="BP322" s="4" t="n">
        <f aca="false">('Data Input'!D169+'Data Input'!Y169/24-$A$1)*24</f>
        <v>55</v>
      </c>
    </row>
    <row r="323" customFormat="false" ht="11.25" hidden="false" customHeight="true" outlineLevel="0" collapsed="false">
      <c r="A323" s="34" t="n">
        <f aca="false">'Data Input'!A170</f>
        <v>24</v>
      </c>
      <c r="B323" s="35" t="str">
        <f aca="false">'Data Input'!B170</f>
        <v>Destressing (incl. 2 ATW) (Line 1)</v>
      </c>
      <c r="C323" s="36" t="str">
        <f aca="false">'Data Input'!O170</f>
        <v>Not Started</v>
      </c>
      <c r="D323" s="37" t="n">
        <f aca="false">'Data Input'!D170</f>
        <v>46312.7083333333</v>
      </c>
      <c r="E323" s="38" t="n">
        <f aca="false">'Data Input'!D170+'Data Input'!Y170/24</f>
        <v>46313.4583333333</v>
      </c>
      <c r="F323" s="39" t="n">
        <f aca="false">'Data Input'!Y170</f>
        <v>18</v>
      </c>
      <c r="G323" s="40" t="n">
        <f aca="false">'Data Input'!T170</f>
        <v>0</v>
      </c>
      <c r="H323" s="41" t="n">
        <f aca="false">'Data Input'!S170</f>
        <v>0</v>
      </c>
      <c r="I323" s="21"/>
      <c r="J323" s="42" t="s">
        <v>27</v>
      </c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H323" s="4" t="n">
        <f aca="false">('Data Input'!C170-$A$1)*24</f>
        <v>37</v>
      </c>
      <c r="BI323" s="4" t="n">
        <f aca="false">('Data Input'!D170-$A$1)*24</f>
        <v>41</v>
      </c>
      <c r="BJ323" s="0" t="n">
        <v>1</v>
      </c>
      <c r="BO323" s="0" t="n">
        <v>-999</v>
      </c>
      <c r="BP323" s="0" t="n">
        <v>-999</v>
      </c>
    </row>
    <row r="324" customFormat="false" ht="11.25" hidden="false" customHeight="true" outlineLevel="0" collapsed="false">
      <c r="A324" s="34"/>
      <c r="B324" s="34"/>
      <c r="C324" s="36"/>
      <c r="D324" s="37"/>
      <c r="E324" s="37"/>
      <c r="F324" s="39"/>
      <c r="G324" s="40"/>
      <c r="H324" s="40"/>
      <c r="I324" s="40"/>
      <c r="J324" s="42" t="s">
        <v>28</v>
      </c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H324" s="4" t="n">
        <f aca="false">IF($BK324="",-999,($BK324-$A$1)*24)</f>
        <v>-999</v>
      </c>
      <c r="BI324" s="4" t="n">
        <f aca="false">IF($BK324="",-999,(IF($BL324&lt;&gt;"",$BL324,IF($C$1&gt;$BK324,$C$1,$BK324+MAX('Data Input'!E170*$BM324,0.5)/24))-$A$1)*24)</f>
        <v>-999</v>
      </c>
      <c r="BJ324" s="4" t="n">
        <f aca="false">IF($BK324="",0,IF($BM324&gt;=1,IF($BN324&lt;=0,2,3),IF($BN324&lt;=0,4,5)))</f>
        <v>0</v>
      </c>
      <c r="BK324" s="0" t="str">
        <f aca="false">IF('Data Input'!Q170="","",'Data Input'!Q170)</f>
        <v/>
      </c>
      <c r="BL324" s="0" t="str">
        <f aca="false">IF('Data Input'!R170="","",'Data Input'!R170)</f>
        <v/>
      </c>
      <c r="BM324" s="4" t="n">
        <f aca="false">'Data Input'!S170</f>
        <v>0</v>
      </c>
      <c r="BN324" s="4" t="n">
        <f aca="false">'Data Input'!Y170</f>
        <v>18</v>
      </c>
      <c r="BO324" s="4" t="n">
        <f aca="false">IF($BM324&gt;=1,-999,MAX(($C$1-$A$1)*24,IF($BK324&lt;&gt;"",$BI324,$BP324-'Data Input'!E170)))</f>
        <v>55</v>
      </c>
      <c r="BP324" s="4" t="n">
        <f aca="false">('Data Input'!D170+'Data Input'!Y170/24-$A$1)*24</f>
        <v>59</v>
      </c>
    </row>
    <row r="325" customFormat="false" ht="11.25" hidden="false" customHeight="true" outlineLevel="0" collapsed="false">
      <c r="A325" s="34" t="n">
        <f aca="false">'Data Input'!A171</f>
        <v>25</v>
      </c>
      <c r="B325" s="35" t="str">
        <f aca="false">'Data Input'!B171</f>
        <v>Destressing (incl. 2 ATW) (Line 3)</v>
      </c>
      <c r="C325" s="36" t="str">
        <f aca="false">'Data Input'!O171</f>
        <v>Not Started</v>
      </c>
      <c r="D325" s="37" t="n">
        <f aca="false">'Data Input'!D171</f>
        <v>46312.875</v>
      </c>
      <c r="E325" s="38" t="n">
        <f aca="false">'Data Input'!D171+'Data Input'!Y171/24</f>
        <v>46313.625</v>
      </c>
      <c r="F325" s="39" t="n">
        <f aca="false">'Data Input'!Y171</f>
        <v>18</v>
      </c>
      <c r="G325" s="40" t="n">
        <f aca="false">'Data Input'!T171</f>
        <v>0</v>
      </c>
      <c r="H325" s="41" t="n">
        <f aca="false">'Data Input'!S171</f>
        <v>0</v>
      </c>
      <c r="I325" s="21"/>
      <c r="J325" s="42" t="s">
        <v>27</v>
      </c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H325" s="4" t="n">
        <f aca="false">('Data Input'!C171-$A$1)*24</f>
        <v>41</v>
      </c>
      <c r="BI325" s="4" t="n">
        <f aca="false">('Data Input'!D171-$A$1)*24</f>
        <v>45</v>
      </c>
      <c r="BJ325" s="0" t="n">
        <v>1</v>
      </c>
      <c r="BO325" s="0" t="n">
        <v>-999</v>
      </c>
      <c r="BP325" s="0" t="n">
        <v>-999</v>
      </c>
    </row>
    <row r="326" customFormat="false" ht="11.25" hidden="false" customHeight="true" outlineLevel="0" collapsed="false">
      <c r="A326" s="34"/>
      <c r="B326" s="34"/>
      <c r="C326" s="36"/>
      <c r="D326" s="37"/>
      <c r="E326" s="37"/>
      <c r="F326" s="39"/>
      <c r="G326" s="40"/>
      <c r="H326" s="40"/>
      <c r="I326" s="40"/>
      <c r="J326" s="42" t="s">
        <v>28</v>
      </c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H326" s="4" t="n">
        <f aca="false">IF($BK326="",-999,($BK326-$A$1)*24)</f>
        <v>-999</v>
      </c>
      <c r="BI326" s="4" t="n">
        <f aca="false">IF($BK326="",-999,(IF($BL326&lt;&gt;"",$BL326,IF($C$1&gt;$BK326,$C$1,$BK326+MAX('Data Input'!E171*$BM326,0.5)/24))-$A$1)*24)</f>
        <v>-999</v>
      </c>
      <c r="BJ326" s="4" t="n">
        <f aca="false">IF($BK326="",0,IF($BM326&gt;=1,IF($BN326&lt;=0,2,3),IF($BN326&lt;=0,4,5)))</f>
        <v>0</v>
      </c>
      <c r="BK326" s="0" t="str">
        <f aca="false">IF('Data Input'!Q171="","",'Data Input'!Q171)</f>
        <v/>
      </c>
      <c r="BL326" s="0" t="str">
        <f aca="false">IF('Data Input'!R171="","",'Data Input'!R171)</f>
        <v/>
      </c>
      <c r="BM326" s="4" t="n">
        <f aca="false">'Data Input'!S171</f>
        <v>0</v>
      </c>
      <c r="BN326" s="4" t="n">
        <f aca="false">'Data Input'!Y171</f>
        <v>18</v>
      </c>
      <c r="BO326" s="4" t="n">
        <f aca="false">IF($BM326&gt;=1,-999,MAX(($C$1-$A$1)*24,IF($BK326&lt;&gt;"",$BI326,$BP326-'Data Input'!E171)))</f>
        <v>59</v>
      </c>
      <c r="BP326" s="4" t="n">
        <f aca="false">('Data Input'!D171+'Data Input'!Y171/24-$A$1)*24</f>
        <v>63</v>
      </c>
    </row>
    <row r="327" customFormat="false" ht="11.25" hidden="false" customHeight="true" outlineLevel="0" collapsed="false">
      <c r="A327" s="34" t="n">
        <f aca="false">'Data Input'!A172</f>
        <v>26</v>
      </c>
      <c r="B327" s="35" t="str">
        <f aca="false">'Data Input'!B172</f>
        <v>Finishing (grinding, stamp, UT, inspection)</v>
      </c>
      <c r="C327" s="36" t="str">
        <f aca="false">'Data Input'!O172</f>
        <v>Not Started</v>
      </c>
      <c r="D327" s="37" t="n">
        <f aca="false">'Data Input'!D172</f>
        <v>46313.0416666667</v>
      </c>
      <c r="E327" s="38" t="n">
        <f aca="false">'Data Input'!D172+'Data Input'!Y172/24</f>
        <v>46313.7916666667</v>
      </c>
      <c r="F327" s="39" t="n">
        <f aca="false">'Data Input'!Y172</f>
        <v>18</v>
      </c>
      <c r="G327" s="40" t="n">
        <f aca="false">'Data Input'!T172</f>
        <v>0</v>
      </c>
      <c r="H327" s="41" t="n">
        <f aca="false">'Data Input'!S172</f>
        <v>0</v>
      </c>
      <c r="I327" s="21"/>
      <c r="J327" s="42" t="s">
        <v>27</v>
      </c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H327" s="4" t="n">
        <f aca="false">('Data Input'!C172-$A$1)*24</f>
        <v>45</v>
      </c>
      <c r="BI327" s="4" t="n">
        <f aca="false">('Data Input'!D172-$A$1)*24</f>
        <v>49</v>
      </c>
      <c r="BJ327" s="0" t="n">
        <v>1</v>
      </c>
      <c r="BO327" s="0" t="n">
        <v>-999</v>
      </c>
      <c r="BP327" s="0" t="n">
        <v>-999</v>
      </c>
    </row>
    <row r="328" customFormat="false" ht="11.25" hidden="false" customHeight="true" outlineLevel="0" collapsed="false">
      <c r="A328" s="34"/>
      <c r="B328" s="34"/>
      <c r="C328" s="36"/>
      <c r="D328" s="37"/>
      <c r="E328" s="37"/>
      <c r="F328" s="39"/>
      <c r="G328" s="40"/>
      <c r="H328" s="40"/>
      <c r="I328" s="40"/>
      <c r="J328" s="42" t="s">
        <v>28</v>
      </c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H328" s="4" t="n">
        <f aca="false">IF($BK328="",-999,($BK328-$A$1)*24)</f>
        <v>-999</v>
      </c>
      <c r="BI328" s="4" t="n">
        <f aca="false">IF($BK328="",-999,(IF($BL328&lt;&gt;"",$BL328,IF($C$1&gt;$BK328,$C$1,$BK328+MAX('Data Input'!E172*$BM328,0.5)/24))-$A$1)*24)</f>
        <v>-999</v>
      </c>
      <c r="BJ328" s="4" t="n">
        <f aca="false">IF($BK328="",0,IF($BM328&gt;=1,IF($BN328&lt;=0,2,3),IF($BN328&lt;=0,4,5)))</f>
        <v>0</v>
      </c>
      <c r="BK328" s="0" t="str">
        <f aca="false">IF('Data Input'!Q172="","",'Data Input'!Q172)</f>
        <v/>
      </c>
      <c r="BL328" s="0" t="str">
        <f aca="false">IF('Data Input'!R172="","",'Data Input'!R172)</f>
        <v/>
      </c>
      <c r="BM328" s="4" t="n">
        <f aca="false">'Data Input'!S172</f>
        <v>0</v>
      </c>
      <c r="BN328" s="4" t="n">
        <f aca="false">'Data Input'!Y172</f>
        <v>18</v>
      </c>
      <c r="BO328" s="4" t="n">
        <f aca="false">IF($BM328&gt;=1,-999,MAX(($C$1-$A$1)*24,IF($BK328&lt;&gt;"",$BI328,$BP328-'Data Input'!E172)))</f>
        <v>63</v>
      </c>
      <c r="BP328" s="4" t="n">
        <f aca="false">('Data Input'!D172+'Data Input'!Y172/24-$A$1)*24</f>
        <v>67</v>
      </c>
    </row>
    <row r="329" customFormat="false" ht="21" hidden="false" customHeight="true" outlineLevel="0" collapsed="false">
      <c r="A329" s="45" t="str">
        <f aca="false">"  TOTAL  -  "&amp;'Data Input'!$B$19</f>
        <v>  TOTAL  -  C289  –  KM 338+491</v>
      </c>
      <c r="B329" s="45"/>
      <c r="C329" s="46" t="str">
        <f aca="false">C17</f>
        <v>AT RISK</v>
      </c>
      <c r="D329" s="24" t="n">
        <f aca="false">D17</f>
        <v>46313.0416666667</v>
      </c>
      <c r="E329" s="24" t="n">
        <f aca="false">E17</f>
        <v>46313.7916666667</v>
      </c>
      <c r="F329" s="25" t="n">
        <f aca="false">F17</f>
        <v>18</v>
      </c>
      <c r="G329" s="47" t="n">
        <f aca="false">G17</f>
        <v>0.392156862745098</v>
      </c>
      <c r="H329" s="48" t="n">
        <f aca="false">H17</f>
        <v>0</v>
      </c>
      <c r="I329" s="49" t="n">
        <f aca="false">I17</f>
        <v>-19</v>
      </c>
      <c r="J329" s="50"/>
      <c r="K329" s="51" t="str">
        <f aca="false">"TOTAL  "&amp;TEXT(SUM('Data Input'!E147:E172),"0.0")&amp;" activity hours          Possession elapsed  "&amp;TEXT(MEDIAN(0,($C$1-$A$1)*24,($B$1-$A$1)*24),"0.0")&amp;"  of  "&amp;TEXT(($B$1-$A$1)*24,"0.0")&amp;" h          Report cut-off  "&amp;TEXT($C$1,"ddd dd-mmm hh:mm")</f>
        <v>TOTAL  51.0 activity hours          Possession elapsed  18.0  of  48.0 h          Report cut-off  Fri 16-Oct 18:00</v>
      </c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</row>
    <row r="330" customFormat="false" ht="15.75" hidden="false" customHeight="true" outlineLevel="0" collapsed="false">
      <c r="A330" s="52"/>
      <c r="B330" s="53" t="s">
        <v>29</v>
      </c>
      <c r="C330" s="53"/>
      <c r="D330" s="54" t="s">
        <v>30</v>
      </c>
      <c r="E330" s="54"/>
      <c r="F330" s="54"/>
      <c r="G330" s="54" t="s">
        <v>31</v>
      </c>
      <c r="H330" s="54"/>
      <c r="I330" s="54"/>
      <c r="O330" s="55"/>
      <c r="P330" s="53" t="s">
        <v>32</v>
      </c>
      <c r="Q330" s="53"/>
      <c r="R330" s="53"/>
      <c r="S330" s="53"/>
      <c r="T330" s="53"/>
      <c r="U330" s="53"/>
      <c r="V330" s="53"/>
      <c r="X330" s="56"/>
      <c r="Y330" s="53" t="s">
        <v>33</v>
      </c>
      <c r="Z330" s="53"/>
      <c r="AA330" s="53"/>
      <c r="AB330" s="53"/>
      <c r="AC330" s="53"/>
      <c r="AD330" s="53"/>
      <c r="AE330" s="53"/>
      <c r="AG330" s="57"/>
      <c r="AH330" s="53" t="s">
        <v>34</v>
      </c>
      <c r="AI330" s="53"/>
      <c r="AJ330" s="53"/>
      <c r="AK330" s="53"/>
      <c r="AL330" s="53"/>
      <c r="AM330" s="53"/>
      <c r="AN330" s="53"/>
      <c r="AP330" s="58"/>
      <c r="AQ330" s="53" t="s">
        <v>35</v>
      </c>
      <c r="AR330" s="53"/>
      <c r="AS330" s="53"/>
      <c r="AT330" s="53"/>
      <c r="AU330" s="53"/>
      <c r="AV330" s="53"/>
      <c r="AW330" s="53"/>
      <c r="AY330" s="59"/>
      <c r="AZ330" s="53" t="s">
        <v>36</v>
      </c>
      <c r="BA330" s="53"/>
      <c r="BB330" s="53"/>
      <c r="BC330" s="53"/>
      <c r="BD330" s="53"/>
      <c r="BE330" s="53"/>
      <c r="BF330" s="53"/>
    </row>
  </sheetData>
  <mergeCells count="1305">
    <mergeCell ref="A3:BF3"/>
    <mergeCell ref="A4:BF4"/>
    <mergeCell ref="A5:BF5"/>
    <mergeCell ref="A7:C7"/>
    <mergeCell ref="D7:BF7"/>
    <mergeCell ref="A8:C8"/>
    <mergeCell ref="D8:BF8"/>
    <mergeCell ref="A9:C9"/>
    <mergeCell ref="D9:BF9"/>
    <mergeCell ref="A11:BF11"/>
    <mergeCell ref="A12:B12"/>
    <mergeCell ref="K12:BF12"/>
    <mergeCell ref="A13:B13"/>
    <mergeCell ref="A14:B14"/>
    <mergeCell ref="A15:B15"/>
    <mergeCell ref="A16:B16"/>
    <mergeCell ref="A17:B17"/>
    <mergeCell ref="A18:B18"/>
    <mergeCell ref="K18:BF18"/>
    <mergeCell ref="A20:BF20"/>
    <mergeCell ref="A37:BF37"/>
    <mergeCell ref="A38:I38"/>
    <mergeCell ref="K38:BF38"/>
    <mergeCell ref="K39:AH39"/>
    <mergeCell ref="AI39:BF39"/>
    <mergeCell ref="K40:P40"/>
    <mergeCell ref="Q40:V40"/>
    <mergeCell ref="W40:AB40"/>
    <mergeCell ref="AC40:AH40"/>
    <mergeCell ref="AI40:AN40"/>
    <mergeCell ref="AO40:AT40"/>
    <mergeCell ref="AU40:AZ40"/>
    <mergeCell ref="BA40:BF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A93:B93"/>
    <mergeCell ref="K93:BF93"/>
    <mergeCell ref="B94:C94"/>
    <mergeCell ref="D94:F94"/>
    <mergeCell ref="G94:I94"/>
    <mergeCell ref="P94:V94"/>
    <mergeCell ref="Y94:AE94"/>
    <mergeCell ref="AH94:AN94"/>
    <mergeCell ref="AQ94:AW94"/>
    <mergeCell ref="AZ94:BF94"/>
    <mergeCell ref="A96:BF96"/>
    <mergeCell ref="A97:I97"/>
    <mergeCell ref="K97:BF97"/>
    <mergeCell ref="K98:AH98"/>
    <mergeCell ref="AI98:BF98"/>
    <mergeCell ref="K99:P99"/>
    <mergeCell ref="Q99:V99"/>
    <mergeCell ref="W99:AB99"/>
    <mergeCell ref="AC99:AH99"/>
    <mergeCell ref="AI99:AN99"/>
    <mergeCell ref="AO99:AT99"/>
    <mergeCell ref="AU99:AZ99"/>
    <mergeCell ref="BA99:BF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A152:B152"/>
    <mergeCell ref="K152:BF152"/>
    <mergeCell ref="B153:C153"/>
    <mergeCell ref="D153:F153"/>
    <mergeCell ref="G153:I153"/>
    <mergeCell ref="P153:V153"/>
    <mergeCell ref="Y153:AE153"/>
    <mergeCell ref="AH153:AN153"/>
    <mergeCell ref="AQ153:AW153"/>
    <mergeCell ref="AZ153:BF153"/>
    <mergeCell ref="A155:BF155"/>
    <mergeCell ref="A156:I156"/>
    <mergeCell ref="K156:BF156"/>
    <mergeCell ref="K157:AH157"/>
    <mergeCell ref="AI157:BF157"/>
    <mergeCell ref="K158:P158"/>
    <mergeCell ref="Q158:V158"/>
    <mergeCell ref="W158:AB158"/>
    <mergeCell ref="AC158:AH158"/>
    <mergeCell ref="AI158:AN158"/>
    <mergeCell ref="AO158:AT158"/>
    <mergeCell ref="AU158:AZ158"/>
    <mergeCell ref="BA158:BF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63:I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A201:A202"/>
    <mergeCell ref="B201:B202"/>
    <mergeCell ref="C201:C202"/>
    <mergeCell ref="D201:D202"/>
    <mergeCell ref="E201:E202"/>
    <mergeCell ref="F201:F202"/>
    <mergeCell ref="G201:G202"/>
    <mergeCell ref="H201:H202"/>
    <mergeCell ref="I201:I202"/>
    <mergeCell ref="A203:A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I207:I208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A211:B211"/>
    <mergeCell ref="K211:BF211"/>
    <mergeCell ref="B212:C212"/>
    <mergeCell ref="D212:F212"/>
    <mergeCell ref="G212:I212"/>
    <mergeCell ref="P212:V212"/>
    <mergeCell ref="Y212:AE212"/>
    <mergeCell ref="AH212:AN212"/>
    <mergeCell ref="AQ212:AW212"/>
    <mergeCell ref="AZ212:BF212"/>
    <mergeCell ref="A214:BF214"/>
    <mergeCell ref="A215:I215"/>
    <mergeCell ref="K215:BF215"/>
    <mergeCell ref="K216:AH216"/>
    <mergeCell ref="AI216:BF216"/>
    <mergeCell ref="K217:P217"/>
    <mergeCell ref="Q217:V217"/>
    <mergeCell ref="W217:AB217"/>
    <mergeCell ref="AC217:AH217"/>
    <mergeCell ref="AI217:AN217"/>
    <mergeCell ref="AO217:AT217"/>
    <mergeCell ref="AU217:AZ217"/>
    <mergeCell ref="BA217:BF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A258:A259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I264:I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A270:B270"/>
    <mergeCell ref="K270:BF270"/>
    <mergeCell ref="B271:C271"/>
    <mergeCell ref="D271:F271"/>
    <mergeCell ref="G271:I271"/>
    <mergeCell ref="P271:V271"/>
    <mergeCell ref="Y271:AE271"/>
    <mergeCell ref="AH271:AN271"/>
    <mergeCell ref="AQ271:AW271"/>
    <mergeCell ref="AZ271:BF271"/>
    <mergeCell ref="A273:BF273"/>
    <mergeCell ref="A274:I274"/>
    <mergeCell ref="K274:BF274"/>
    <mergeCell ref="K275:AH275"/>
    <mergeCell ref="AI275:BF275"/>
    <mergeCell ref="K276:P276"/>
    <mergeCell ref="Q276:V276"/>
    <mergeCell ref="W276:AB276"/>
    <mergeCell ref="AC276:AH276"/>
    <mergeCell ref="AI276:AN276"/>
    <mergeCell ref="AO276:AT276"/>
    <mergeCell ref="AU276:AZ276"/>
    <mergeCell ref="BA276:BF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A283:A284"/>
    <mergeCell ref="B283:B284"/>
    <mergeCell ref="C283:C284"/>
    <mergeCell ref="D283:D284"/>
    <mergeCell ref="E283:E284"/>
    <mergeCell ref="F283:F284"/>
    <mergeCell ref="G283:G284"/>
    <mergeCell ref="H283:H284"/>
    <mergeCell ref="I283:I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A297:A298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A299:A300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A303:A304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A305:A306"/>
    <mergeCell ref="B305:B306"/>
    <mergeCell ref="C305:C306"/>
    <mergeCell ref="D305:D306"/>
    <mergeCell ref="E305:E306"/>
    <mergeCell ref="F305:F306"/>
    <mergeCell ref="G305:G306"/>
    <mergeCell ref="H305:H306"/>
    <mergeCell ref="I305:I306"/>
    <mergeCell ref="A307:A308"/>
    <mergeCell ref="B307:B308"/>
    <mergeCell ref="C307:C308"/>
    <mergeCell ref="D307:D308"/>
    <mergeCell ref="E307:E308"/>
    <mergeCell ref="F307:F308"/>
    <mergeCell ref="G307:G308"/>
    <mergeCell ref="H307:H308"/>
    <mergeCell ref="I307:I308"/>
    <mergeCell ref="A309:A310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I311:I31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A315:A316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A317:A318"/>
    <mergeCell ref="B317:B318"/>
    <mergeCell ref="C317:C318"/>
    <mergeCell ref="D317:D318"/>
    <mergeCell ref="E317:E318"/>
    <mergeCell ref="F317:F318"/>
    <mergeCell ref="G317:G318"/>
    <mergeCell ref="H317:H318"/>
    <mergeCell ref="I317:I318"/>
    <mergeCell ref="A319:A320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A321:A322"/>
    <mergeCell ref="B321:B322"/>
    <mergeCell ref="C321:C322"/>
    <mergeCell ref="D321:D322"/>
    <mergeCell ref="E321:E322"/>
    <mergeCell ref="F321:F322"/>
    <mergeCell ref="G321:G322"/>
    <mergeCell ref="H321:H322"/>
    <mergeCell ref="I321:I322"/>
    <mergeCell ref="A323:A324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A325:A326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A329:B329"/>
    <mergeCell ref="K329:BF329"/>
    <mergeCell ref="B330:C330"/>
    <mergeCell ref="D330:F330"/>
    <mergeCell ref="G330:I330"/>
    <mergeCell ref="P330:V330"/>
    <mergeCell ref="Y330:AE330"/>
    <mergeCell ref="AH330:AN330"/>
    <mergeCell ref="AQ330:AW330"/>
    <mergeCell ref="AZ330:BF330"/>
  </mergeCells>
  <conditionalFormatting sqref="K13:BF17">
    <cfRule type="expression" priority="2" aboveAverage="0" equalAverage="0" bottom="0" percent="0" rank="0" text="" dxfId="0">
      <formula>AND($A$1&lt;&gt;"",K$1=ROUND(MEDIAN(0,($C$1-$A$1)/($B$1-$A$1),1)*48,0))</formula>
    </cfRule>
    <cfRule type="expression" priority="3" aboveAverage="0" equalAverage="0" bottom="0" percent="0" rank="0" text="" dxfId="1">
      <formula>AND($H13&gt;0,K$1&lt;$H13*48,$C13="AT RISK")</formula>
    </cfRule>
    <cfRule type="expression" priority="4" aboveAverage="0" equalAverage="0" bottom="0" percent="0" rank="0" text="" dxfId="2">
      <formula>AND($H13&gt;0,K$1&lt;$H13*48,$C13="BEHIND")</formula>
    </cfRule>
    <cfRule type="expression" priority="5" aboveAverage="0" equalAverage="0" bottom="0" percent="0" rank="0" text="" dxfId="3">
      <formula>AND($H13&gt;0,K$1&lt;$H13*48,$C13="TIGHT")</formula>
    </cfRule>
    <cfRule type="expression" priority="6" aboveAverage="0" equalAverage="0" bottom="0" percent="0" rank="0" text="" dxfId="4">
      <formula>AND($H13&gt;0,K$1&lt;$H13*48,$C13="AHEAD")</formula>
    </cfRule>
    <cfRule type="expression" priority="7" aboveAverage="0" equalAverage="0" bottom="0" percent="0" rank="0" text="" dxfId="5">
      <formula>AND($H13&gt;0,K$1&lt;$H13*48,1)</formula>
    </cfRule>
  </conditionalFormatting>
  <conditionalFormatting sqref="C13:C18">
    <cfRule type="expression" priority="8" aboveAverage="0" equalAverage="0" bottom="0" percent="0" rank="0" text="" dxfId="6">
      <formula>$C13="AT RISK"</formula>
    </cfRule>
    <cfRule type="expression" priority="9" aboveAverage="0" equalAverage="0" bottom="0" percent="0" rank="0" text="" dxfId="7">
      <formula>$C13="BEHIND"</formula>
    </cfRule>
    <cfRule type="expression" priority="10" aboveAverage="0" equalAverage="0" bottom="0" percent="0" rank="0" text="" dxfId="8">
      <formula>$C13="TIGHT"</formula>
    </cfRule>
    <cfRule type="expression" priority="11" aboveAverage="0" equalAverage="0" bottom="0" percent="0" rank="0" text="" dxfId="9">
      <formula>$C13="AHEAD"</formula>
    </cfRule>
    <cfRule type="expression" priority="12" aboveAverage="0" equalAverage="0" bottom="0" percent="0" rank="0" text="" dxfId="10">
      <formula>$C13="ON TIME"</formula>
    </cfRule>
  </conditionalFormatting>
  <conditionalFormatting sqref="I13:I18">
    <cfRule type="expression" priority="13" aboveAverage="0" equalAverage="0" bottom="0" percent="0" rank="0" text="" dxfId="11">
      <formula>$C13="AT RISK"</formula>
    </cfRule>
    <cfRule type="expression" priority="14" aboveAverage="0" equalAverage="0" bottom="0" percent="0" rank="0" text="" dxfId="12">
      <formula>$C13="BEHIND"</formula>
    </cfRule>
    <cfRule type="expression" priority="15" aboveAverage="0" equalAverage="0" bottom="0" percent="0" rank="0" text="" dxfId="13">
      <formula>$C13="TIGHT"</formula>
    </cfRule>
    <cfRule type="expression" priority="16" aboveAverage="0" equalAverage="0" bottom="0" percent="0" rank="0" text="" dxfId="14">
      <formula>$C13="AHEAD"</formula>
    </cfRule>
    <cfRule type="expression" priority="17" aboveAverage="0" equalAverage="0" bottom="0" percent="0" rank="0" text="" dxfId="15">
      <formula>$C13="ON TIME"</formula>
    </cfRule>
  </conditionalFormatting>
  <conditionalFormatting sqref="K41:BF92">
    <cfRule type="expression" priority="18" aboveAverage="0" equalAverage="0" bottom="0" percent="0" rank="0" text="" dxfId="16">
      <formula>MOD(K$1,6)=0</formula>
    </cfRule>
    <cfRule type="expression" priority="19" aboveAverage="0" equalAverage="0" bottom="0" percent="0" rank="0" text="" dxfId="17">
      <formula>MOD(K$1,24)=0</formula>
    </cfRule>
    <cfRule type="expression" priority="20" aboveAverage="0" equalAverage="0" bottom="0" percent="0" rank="0" text="" dxfId="18">
      <formula>AND($C$1&gt;=$A$1,$C$1&lt;=$B$1,K$1=ROUND((($C$1-$A$1)*24-$D$1)/$E$1,0))</formula>
    </cfRule>
    <cfRule type="expression" priority="21" aboveAverage="0" equalAverage="0" bottom="0" percent="0" rank="0" text="" dxfId="19">
      <formula>AND($BH41&lt;&gt;-999,$BH41&lt;$D$1+(K$1+1)*$E$1,$BI41&gt;$D$1+K$1*$E$1,$BJ41=1)</formula>
    </cfRule>
    <cfRule type="expression" priority="22" aboveAverage="0" equalAverage="0" bottom="0" percent="0" rank="0" text="" dxfId="20">
      <formula>AND($BH41&lt;&gt;-999,$BH41&lt;$D$1+(K$1+1)*$E$1,$BI41&gt;$D$1+K$1*$E$1,$BJ41=2)</formula>
    </cfRule>
    <cfRule type="expression" priority="23" aboveAverage="0" equalAverage="0" bottom="0" percent="0" rank="0" text="" dxfId="21">
      <formula>AND($BH41&lt;&gt;-999,$BH41&lt;$D$1+(K$1+1)*$E$1,$BI41&gt;$D$1+K$1*$E$1,$BJ41=3)</formula>
    </cfRule>
    <cfRule type="expression" priority="24" aboveAverage="0" equalAverage="0" bottom="0" percent="0" rank="0" text="" dxfId="22">
      <formula>AND($BH41&lt;&gt;-999,$BH41&lt;$D$1+(K$1+1)*$E$1,$BI41&gt;$D$1+K$1*$E$1,$BJ41=4)</formula>
    </cfRule>
    <cfRule type="expression" priority="25" aboveAverage="0" equalAverage="0" bottom="0" percent="0" rank="0" text="" dxfId="23">
      <formula>AND($BH41&lt;&gt;-999,$BH41&lt;$D$1+(K$1+1)*$E$1,$BI41&gt;$D$1+K$1*$E$1,$BJ41=5)</formula>
    </cfRule>
    <cfRule type="expression" priority="26" aboveAverage="0" equalAverage="0" bottom="0" percent="0" rank="0" text="" dxfId="24">
      <formula>AND($BO41&lt;&gt;-999,$BO41&lt;$D$1+(K$1+1)*$E$1,$BP41&gt;$D$1+K$1*$E$1)</formula>
    </cfRule>
  </conditionalFormatting>
  <conditionalFormatting sqref="C41:C92">
    <cfRule type="expression" priority="27" aboveAverage="0" equalAverage="0" bottom="0" percent="0" rank="0" text="" dxfId="25">
      <formula>COUNTIF($C41,"!*")&gt;0</formula>
    </cfRule>
    <cfRule type="expression" priority="28" aboveAverage="0" equalAverage="0" bottom="0" percent="0" rank="0" text="" dxfId="26">
      <formula>COUNTIF($C41,"Completed*Delayed")&gt;0</formula>
    </cfRule>
    <cfRule type="expression" priority="29" aboveAverage="0" equalAverage="0" bottom="0" percent="0" rank="0" text="" dxfId="27">
      <formula>COUNTIF($C41,"Completed*")&gt;0</formula>
    </cfRule>
    <cfRule type="expression" priority="30" aboveAverage="0" equalAverage="0" bottom="0" percent="0" rank="0" text="" dxfId="28">
      <formula>COUNTIF($C41,"*BEHIND*")&gt;0</formula>
    </cfRule>
    <cfRule type="expression" priority="31" aboveAverage="0" equalAverage="0" bottom="0" percent="0" rank="0" text="" dxfId="29">
      <formula>COUNTIF($C41,"In Progress*")&gt;0</formula>
    </cfRule>
    <cfRule type="expression" priority="32" aboveAverage="0" equalAverage="0" bottom="0" percent="0" rank="0" text="" dxfId="30">
      <formula>COUNTIF($C41,"NOT STARTED - LATE")&gt;0</formula>
    </cfRule>
  </conditionalFormatting>
  <conditionalFormatting sqref="F41:F92">
    <cfRule type="expression" priority="33" aboveAverage="0" equalAverage="0" bottom="0" percent="0" rank="0" text="" dxfId="31">
      <formula>$F41&gt;0.1</formula>
    </cfRule>
    <cfRule type="expression" priority="34" aboveAverage="0" equalAverage="0" bottom="0" percent="0" rank="0" text="" dxfId="32">
      <formula>$F41&lt;-0.1</formula>
    </cfRule>
  </conditionalFormatting>
  <conditionalFormatting sqref="C93">
    <cfRule type="expression" priority="35" aboveAverage="0" equalAverage="0" bottom="0" percent="0" rank="0" text="" dxfId="33">
      <formula>$C$93="AT RISK"</formula>
    </cfRule>
    <cfRule type="expression" priority="36" aboveAverage="0" equalAverage="0" bottom="0" percent="0" rank="0" text="" dxfId="34">
      <formula>$C$93="BEHIND"</formula>
    </cfRule>
    <cfRule type="expression" priority="37" aboveAverage="0" equalAverage="0" bottom="0" percent="0" rank="0" text="" dxfId="35">
      <formula>$C$93="TIGHT"</formula>
    </cfRule>
    <cfRule type="expression" priority="38" aboveAverage="0" equalAverage="0" bottom="0" percent="0" rank="0" text="" dxfId="36">
      <formula>$C$93="AHEAD"</formula>
    </cfRule>
    <cfRule type="expression" priority="39" aboveAverage="0" equalAverage="0" bottom="0" percent="0" rank="0" text="" dxfId="37">
      <formula>$C$93="ON TIME"</formula>
    </cfRule>
  </conditionalFormatting>
  <conditionalFormatting sqref="I93">
    <cfRule type="expression" priority="40" aboveAverage="0" equalAverage="0" bottom="0" percent="0" rank="0" text="" dxfId="38">
      <formula>$C$93="AT RISK"</formula>
    </cfRule>
    <cfRule type="expression" priority="41" aboveAverage="0" equalAverage="0" bottom="0" percent="0" rank="0" text="" dxfId="39">
      <formula>$C$93="BEHIND"</formula>
    </cfRule>
    <cfRule type="expression" priority="42" aboveAverage="0" equalAverage="0" bottom="0" percent="0" rank="0" text="" dxfId="40">
      <formula>$C$93="TIGHT"</formula>
    </cfRule>
    <cfRule type="expression" priority="43" aboveAverage="0" equalAverage="0" bottom="0" percent="0" rank="0" text="" dxfId="41">
      <formula>$C$93="AHEAD"</formula>
    </cfRule>
    <cfRule type="expression" priority="44" aboveAverage="0" equalAverage="0" bottom="0" percent="0" rank="0" text="" dxfId="42">
      <formula>$C$93="ON TIME"</formula>
    </cfRule>
  </conditionalFormatting>
  <conditionalFormatting sqref="K100:BF151">
    <cfRule type="expression" priority="45" aboveAverage="0" equalAverage="0" bottom="0" percent="0" rank="0" text="" dxfId="43">
      <formula>MOD(K$1,6)=0</formula>
    </cfRule>
    <cfRule type="expression" priority="46" aboveAverage="0" equalAverage="0" bottom="0" percent="0" rank="0" text="" dxfId="44">
      <formula>MOD(K$1,24)=0</formula>
    </cfRule>
    <cfRule type="expression" priority="47" aboveAverage="0" equalAverage="0" bottom="0" percent="0" rank="0" text="" dxfId="45">
      <formula>AND($C$1&gt;=$A$1,$C$1&lt;=$B$1,K$1=ROUND((($C$1-$A$1)*24-$D$1)/$E$1,0))</formula>
    </cfRule>
    <cfRule type="expression" priority="48" aboveAverage="0" equalAverage="0" bottom="0" percent="0" rank="0" text="" dxfId="46">
      <formula>AND($BH100&lt;&gt;-999,$BH100&lt;$D$1+(K$1+1)*$E$1,$BI100&gt;$D$1+K$1*$E$1,$BJ100=1)</formula>
    </cfRule>
    <cfRule type="expression" priority="49" aboveAverage="0" equalAverage="0" bottom="0" percent="0" rank="0" text="" dxfId="47">
      <formula>AND($BH100&lt;&gt;-999,$BH100&lt;$D$1+(K$1+1)*$E$1,$BI100&gt;$D$1+K$1*$E$1,$BJ100=2)</formula>
    </cfRule>
    <cfRule type="expression" priority="50" aboveAverage="0" equalAverage="0" bottom="0" percent="0" rank="0" text="" dxfId="48">
      <formula>AND($BH100&lt;&gt;-999,$BH100&lt;$D$1+(K$1+1)*$E$1,$BI100&gt;$D$1+K$1*$E$1,$BJ100=3)</formula>
    </cfRule>
    <cfRule type="expression" priority="51" aboveAverage="0" equalAverage="0" bottom="0" percent="0" rank="0" text="" dxfId="49">
      <formula>AND($BH100&lt;&gt;-999,$BH100&lt;$D$1+(K$1+1)*$E$1,$BI100&gt;$D$1+K$1*$E$1,$BJ100=4)</formula>
    </cfRule>
    <cfRule type="expression" priority="52" aboveAverage="0" equalAverage="0" bottom="0" percent="0" rank="0" text="" dxfId="50">
      <formula>AND($BH100&lt;&gt;-999,$BH100&lt;$D$1+(K$1+1)*$E$1,$BI100&gt;$D$1+K$1*$E$1,$BJ100=5)</formula>
    </cfRule>
    <cfRule type="expression" priority="53" aboveAverage="0" equalAverage="0" bottom="0" percent="0" rank="0" text="" dxfId="51">
      <formula>AND($BO100&lt;&gt;-999,$BO100&lt;$D$1+(K$1+1)*$E$1,$BP100&gt;$D$1+K$1*$E$1)</formula>
    </cfRule>
  </conditionalFormatting>
  <conditionalFormatting sqref="C100:C151">
    <cfRule type="expression" priority="54" aboveAverage="0" equalAverage="0" bottom="0" percent="0" rank="0" text="" dxfId="52">
      <formula>COUNTIF($C100,"!*")&gt;0</formula>
    </cfRule>
    <cfRule type="expression" priority="55" aboveAverage="0" equalAverage="0" bottom="0" percent="0" rank="0" text="" dxfId="53">
      <formula>COUNTIF($C100,"Completed*Delayed")&gt;0</formula>
    </cfRule>
    <cfRule type="expression" priority="56" aboveAverage="0" equalAverage="0" bottom="0" percent="0" rank="0" text="" dxfId="54">
      <formula>COUNTIF($C100,"Completed*")&gt;0</formula>
    </cfRule>
    <cfRule type="expression" priority="57" aboveAverage="0" equalAverage="0" bottom="0" percent="0" rank="0" text="" dxfId="55">
      <formula>COUNTIF($C100,"*BEHIND*")&gt;0</formula>
    </cfRule>
    <cfRule type="expression" priority="58" aboveAverage="0" equalAverage="0" bottom="0" percent="0" rank="0" text="" dxfId="56">
      <formula>COUNTIF($C100,"In Progress*")&gt;0</formula>
    </cfRule>
    <cfRule type="expression" priority="59" aboveAverage="0" equalAverage="0" bottom="0" percent="0" rank="0" text="" dxfId="57">
      <formula>COUNTIF($C100,"NOT STARTED - LATE")&gt;0</formula>
    </cfRule>
  </conditionalFormatting>
  <conditionalFormatting sqref="F100:F151">
    <cfRule type="expression" priority="60" aboveAverage="0" equalAverage="0" bottom="0" percent="0" rank="0" text="" dxfId="58">
      <formula>$F100&gt;0.1</formula>
    </cfRule>
    <cfRule type="expression" priority="61" aboveAverage="0" equalAverage="0" bottom="0" percent="0" rank="0" text="" dxfId="59">
      <formula>$F100&lt;-0.1</formula>
    </cfRule>
  </conditionalFormatting>
  <conditionalFormatting sqref="C152">
    <cfRule type="expression" priority="62" aboveAverage="0" equalAverage="0" bottom="0" percent="0" rank="0" text="" dxfId="60">
      <formula>$C$152="AT RISK"</formula>
    </cfRule>
    <cfRule type="expression" priority="63" aboveAverage="0" equalAverage="0" bottom="0" percent="0" rank="0" text="" dxfId="61">
      <formula>$C$152="BEHIND"</formula>
    </cfRule>
    <cfRule type="expression" priority="64" aboveAverage="0" equalAverage="0" bottom="0" percent="0" rank="0" text="" dxfId="62">
      <formula>$C$152="TIGHT"</formula>
    </cfRule>
    <cfRule type="expression" priority="65" aboveAverage="0" equalAverage="0" bottom="0" percent="0" rank="0" text="" dxfId="63">
      <formula>$C$152="AHEAD"</formula>
    </cfRule>
    <cfRule type="expression" priority="66" aboveAverage="0" equalAverage="0" bottom="0" percent="0" rank="0" text="" dxfId="64">
      <formula>$C$152="ON TIME"</formula>
    </cfRule>
  </conditionalFormatting>
  <conditionalFormatting sqref="I152">
    <cfRule type="expression" priority="67" aboveAverage="0" equalAverage="0" bottom="0" percent="0" rank="0" text="" dxfId="65">
      <formula>$C$152="AT RISK"</formula>
    </cfRule>
    <cfRule type="expression" priority="68" aboveAverage="0" equalAverage="0" bottom="0" percent="0" rank="0" text="" dxfId="66">
      <formula>$C$152="BEHIND"</formula>
    </cfRule>
    <cfRule type="expression" priority="69" aboveAverage="0" equalAverage="0" bottom="0" percent="0" rank="0" text="" dxfId="67">
      <formula>$C$152="TIGHT"</formula>
    </cfRule>
    <cfRule type="expression" priority="70" aboveAverage="0" equalAverage="0" bottom="0" percent="0" rank="0" text="" dxfId="68">
      <formula>$C$152="AHEAD"</formula>
    </cfRule>
    <cfRule type="expression" priority="71" aboveAverage="0" equalAverage="0" bottom="0" percent="0" rank="0" text="" dxfId="69">
      <formula>$C$152="ON TIME"</formula>
    </cfRule>
  </conditionalFormatting>
  <conditionalFormatting sqref="K159:BF210">
    <cfRule type="expression" priority="72" aboveAverage="0" equalAverage="0" bottom="0" percent="0" rank="0" text="" dxfId="70">
      <formula>MOD(K$1,6)=0</formula>
    </cfRule>
    <cfRule type="expression" priority="73" aboveAverage="0" equalAverage="0" bottom="0" percent="0" rank="0" text="" dxfId="71">
      <formula>MOD(K$1,24)=0</formula>
    </cfRule>
    <cfRule type="expression" priority="74" aboveAverage="0" equalAverage="0" bottom="0" percent="0" rank="0" text="" dxfId="72">
      <formula>AND($C$1&gt;=$A$1,$C$1&lt;=$B$1,K$1=ROUND((($C$1-$A$1)*24-$D$1)/$E$1,0))</formula>
    </cfRule>
    <cfRule type="expression" priority="75" aboveAverage="0" equalAverage="0" bottom="0" percent="0" rank="0" text="" dxfId="73">
      <formula>AND($BH159&lt;&gt;-999,$BH159&lt;$D$1+(K$1+1)*$E$1,$BI159&gt;$D$1+K$1*$E$1,$BJ159=1)</formula>
    </cfRule>
    <cfRule type="expression" priority="76" aboveAverage="0" equalAverage="0" bottom="0" percent="0" rank="0" text="" dxfId="74">
      <formula>AND($BH159&lt;&gt;-999,$BH159&lt;$D$1+(K$1+1)*$E$1,$BI159&gt;$D$1+K$1*$E$1,$BJ159=2)</formula>
    </cfRule>
    <cfRule type="expression" priority="77" aboveAverage="0" equalAverage="0" bottom="0" percent="0" rank="0" text="" dxfId="75">
      <formula>AND($BH159&lt;&gt;-999,$BH159&lt;$D$1+(K$1+1)*$E$1,$BI159&gt;$D$1+K$1*$E$1,$BJ159=3)</formula>
    </cfRule>
    <cfRule type="expression" priority="78" aboveAverage="0" equalAverage="0" bottom="0" percent="0" rank="0" text="" dxfId="76">
      <formula>AND($BH159&lt;&gt;-999,$BH159&lt;$D$1+(K$1+1)*$E$1,$BI159&gt;$D$1+K$1*$E$1,$BJ159=4)</formula>
    </cfRule>
    <cfRule type="expression" priority="79" aboveAverage="0" equalAverage="0" bottom="0" percent="0" rank="0" text="" dxfId="77">
      <formula>AND($BH159&lt;&gt;-999,$BH159&lt;$D$1+(K$1+1)*$E$1,$BI159&gt;$D$1+K$1*$E$1,$BJ159=5)</formula>
    </cfRule>
    <cfRule type="expression" priority="80" aboveAverage="0" equalAverage="0" bottom="0" percent="0" rank="0" text="" dxfId="78">
      <formula>AND($BO159&lt;&gt;-999,$BO159&lt;$D$1+(K$1+1)*$E$1,$BP159&gt;$D$1+K$1*$E$1)</formula>
    </cfRule>
  </conditionalFormatting>
  <conditionalFormatting sqref="C159:C210">
    <cfRule type="expression" priority="81" aboveAverage="0" equalAverage="0" bottom="0" percent="0" rank="0" text="" dxfId="79">
      <formula>COUNTIF($C159,"!*")&gt;0</formula>
    </cfRule>
    <cfRule type="expression" priority="82" aboveAverage="0" equalAverage="0" bottom="0" percent="0" rank="0" text="" dxfId="80">
      <formula>COUNTIF($C159,"Completed*Delayed")&gt;0</formula>
    </cfRule>
    <cfRule type="expression" priority="83" aboveAverage="0" equalAverage="0" bottom="0" percent="0" rank="0" text="" dxfId="81">
      <formula>COUNTIF($C159,"Completed*")&gt;0</formula>
    </cfRule>
    <cfRule type="expression" priority="84" aboveAverage="0" equalAverage="0" bottom="0" percent="0" rank="0" text="" dxfId="82">
      <formula>COUNTIF($C159,"*BEHIND*")&gt;0</formula>
    </cfRule>
    <cfRule type="expression" priority="85" aboveAverage="0" equalAverage="0" bottom="0" percent="0" rank="0" text="" dxfId="83">
      <formula>COUNTIF($C159,"In Progress*")&gt;0</formula>
    </cfRule>
    <cfRule type="expression" priority="86" aboveAverage="0" equalAverage="0" bottom="0" percent="0" rank="0" text="" dxfId="84">
      <formula>COUNTIF($C159,"NOT STARTED - LATE")&gt;0</formula>
    </cfRule>
  </conditionalFormatting>
  <conditionalFormatting sqref="F159:F210">
    <cfRule type="expression" priority="87" aboveAverage="0" equalAverage="0" bottom="0" percent="0" rank="0" text="" dxfId="85">
      <formula>$F159&gt;0.1</formula>
    </cfRule>
    <cfRule type="expression" priority="88" aboveAverage="0" equalAverage="0" bottom="0" percent="0" rank="0" text="" dxfId="86">
      <formula>$F159&lt;-0.1</formula>
    </cfRule>
  </conditionalFormatting>
  <conditionalFormatting sqref="C211">
    <cfRule type="expression" priority="89" aboveAverage="0" equalAverage="0" bottom="0" percent="0" rank="0" text="" dxfId="87">
      <formula>$C$211="AT RISK"</formula>
    </cfRule>
    <cfRule type="expression" priority="90" aboveAverage="0" equalAverage="0" bottom="0" percent="0" rank="0" text="" dxfId="88">
      <formula>$C$211="BEHIND"</formula>
    </cfRule>
    <cfRule type="expression" priority="91" aboveAverage="0" equalAverage="0" bottom="0" percent="0" rank="0" text="" dxfId="89">
      <formula>$C$211="TIGHT"</formula>
    </cfRule>
    <cfRule type="expression" priority="92" aboveAverage="0" equalAverage="0" bottom="0" percent="0" rank="0" text="" dxfId="90">
      <formula>$C$211="AHEAD"</formula>
    </cfRule>
    <cfRule type="expression" priority="93" aboveAverage="0" equalAverage="0" bottom="0" percent="0" rank="0" text="" dxfId="91">
      <formula>$C$211="ON TIME"</formula>
    </cfRule>
  </conditionalFormatting>
  <conditionalFormatting sqref="I211">
    <cfRule type="expression" priority="94" aboveAverage="0" equalAverage="0" bottom="0" percent="0" rank="0" text="" dxfId="92">
      <formula>$C$211="AT RISK"</formula>
    </cfRule>
    <cfRule type="expression" priority="95" aboveAverage="0" equalAverage="0" bottom="0" percent="0" rank="0" text="" dxfId="93">
      <formula>$C$211="BEHIND"</formula>
    </cfRule>
    <cfRule type="expression" priority="96" aboveAverage="0" equalAverage="0" bottom="0" percent="0" rank="0" text="" dxfId="94">
      <formula>$C$211="TIGHT"</formula>
    </cfRule>
    <cfRule type="expression" priority="97" aboveAverage="0" equalAverage="0" bottom="0" percent="0" rank="0" text="" dxfId="95">
      <formula>$C$211="AHEAD"</formula>
    </cfRule>
    <cfRule type="expression" priority="98" aboveAverage="0" equalAverage="0" bottom="0" percent="0" rank="0" text="" dxfId="96">
      <formula>$C$211="ON TIME"</formula>
    </cfRule>
  </conditionalFormatting>
  <conditionalFormatting sqref="K218:BF269">
    <cfRule type="expression" priority="99" aboveAverage="0" equalAverage="0" bottom="0" percent="0" rank="0" text="" dxfId="97">
      <formula>MOD(K$1,6)=0</formula>
    </cfRule>
    <cfRule type="expression" priority="100" aboveAverage="0" equalAverage="0" bottom="0" percent="0" rank="0" text="" dxfId="98">
      <formula>MOD(K$1,24)=0</formula>
    </cfRule>
    <cfRule type="expression" priority="101" aboveAverage="0" equalAverage="0" bottom="0" percent="0" rank="0" text="" dxfId="99">
      <formula>AND($C$1&gt;=$A$1,$C$1&lt;=$B$1,K$1=ROUND((($C$1-$A$1)*24-$D$1)/$E$1,0))</formula>
    </cfRule>
    <cfRule type="expression" priority="102" aboveAverage="0" equalAverage="0" bottom="0" percent="0" rank="0" text="" dxfId="100">
      <formula>AND($BH218&lt;&gt;-999,$BH218&lt;$D$1+(K$1+1)*$E$1,$BI218&gt;$D$1+K$1*$E$1,$BJ218=1)</formula>
    </cfRule>
    <cfRule type="expression" priority="103" aboveAverage="0" equalAverage="0" bottom="0" percent="0" rank="0" text="" dxfId="101">
      <formula>AND($BH218&lt;&gt;-999,$BH218&lt;$D$1+(K$1+1)*$E$1,$BI218&gt;$D$1+K$1*$E$1,$BJ218=2)</formula>
    </cfRule>
    <cfRule type="expression" priority="104" aboveAverage="0" equalAverage="0" bottom="0" percent="0" rank="0" text="" dxfId="102">
      <formula>AND($BH218&lt;&gt;-999,$BH218&lt;$D$1+(K$1+1)*$E$1,$BI218&gt;$D$1+K$1*$E$1,$BJ218=3)</formula>
    </cfRule>
    <cfRule type="expression" priority="105" aboveAverage="0" equalAverage="0" bottom="0" percent="0" rank="0" text="" dxfId="103">
      <formula>AND($BH218&lt;&gt;-999,$BH218&lt;$D$1+(K$1+1)*$E$1,$BI218&gt;$D$1+K$1*$E$1,$BJ218=4)</formula>
    </cfRule>
    <cfRule type="expression" priority="106" aboveAverage="0" equalAverage="0" bottom="0" percent="0" rank="0" text="" dxfId="104">
      <formula>AND($BH218&lt;&gt;-999,$BH218&lt;$D$1+(K$1+1)*$E$1,$BI218&gt;$D$1+K$1*$E$1,$BJ218=5)</formula>
    </cfRule>
    <cfRule type="expression" priority="107" aboveAverage="0" equalAverage="0" bottom="0" percent="0" rank="0" text="" dxfId="105">
      <formula>AND($BO218&lt;&gt;-999,$BO218&lt;$D$1+(K$1+1)*$E$1,$BP218&gt;$D$1+K$1*$E$1)</formula>
    </cfRule>
  </conditionalFormatting>
  <conditionalFormatting sqref="C218:C269">
    <cfRule type="expression" priority="108" aboveAverage="0" equalAverage="0" bottom="0" percent="0" rank="0" text="" dxfId="106">
      <formula>COUNTIF($C218,"!*")&gt;0</formula>
    </cfRule>
    <cfRule type="expression" priority="109" aboveAverage="0" equalAverage="0" bottom="0" percent="0" rank="0" text="" dxfId="107">
      <formula>COUNTIF($C218,"Completed*Delayed")&gt;0</formula>
    </cfRule>
    <cfRule type="expression" priority="110" aboveAverage="0" equalAverage="0" bottom="0" percent="0" rank="0" text="" dxfId="108">
      <formula>COUNTIF($C218,"Completed*")&gt;0</formula>
    </cfRule>
    <cfRule type="expression" priority="111" aboveAverage="0" equalAverage="0" bottom="0" percent="0" rank="0" text="" dxfId="109">
      <formula>COUNTIF($C218,"*BEHIND*")&gt;0</formula>
    </cfRule>
    <cfRule type="expression" priority="112" aboveAverage="0" equalAverage="0" bottom="0" percent="0" rank="0" text="" dxfId="110">
      <formula>COUNTIF($C218,"In Progress*")&gt;0</formula>
    </cfRule>
    <cfRule type="expression" priority="113" aboveAverage="0" equalAverage="0" bottom="0" percent="0" rank="0" text="" dxfId="111">
      <formula>COUNTIF($C218,"NOT STARTED - LATE")&gt;0</formula>
    </cfRule>
  </conditionalFormatting>
  <conditionalFormatting sqref="F218:F269">
    <cfRule type="expression" priority="114" aboveAverage="0" equalAverage="0" bottom="0" percent="0" rank="0" text="" dxfId="112">
      <formula>$F218&gt;0.1</formula>
    </cfRule>
    <cfRule type="expression" priority="115" aboveAverage="0" equalAverage="0" bottom="0" percent="0" rank="0" text="" dxfId="113">
      <formula>$F218&lt;-0.1</formula>
    </cfRule>
  </conditionalFormatting>
  <conditionalFormatting sqref="C270">
    <cfRule type="expression" priority="116" aboveAverage="0" equalAverage="0" bottom="0" percent="0" rank="0" text="" dxfId="114">
      <formula>$C$270="AT RISK"</formula>
    </cfRule>
    <cfRule type="expression" priority="117" aboveAverage="0" equalAverage="0" bottom="0" percent="0" rank="0" text="" dxfId="115">
      <formula>$C$270="BEHIND"</formula>
    </cfRule>
    <cfRule type="expression" priority="118" aboveAverage="0" equalAverage="0" bottom="0" percent="0" rank="0" text="" dxfId="116">
      <formula>$C$270="TIGHT"</formula>
    </cfRule>
    <cfRule type="expression" priority="119" aboveAverage="0" equalAverage="0" bottom="0" percent="0" rank="0" text="" dxfId="117">
      <formula>$C$270="AHEAD"</formula>
    </cfRule>
    <cfRule type="expression" priority="120" aboveAverage="0" equalAverage="0" bottom="0" percent="0" rank="0" text="" dxfId="118">
      <formula>$C$270="ON TIME"</formula>
    </cfRule>
  </conditionalFormatting>
  <conditionalFormatting sqref="I270">
    <cfRule type="expression" priority="121" aboveAverage="0" equalAverage="0" bottom="0" percent="0" rank="0" text="" dxfId="119">
      <formula>$C$270="AT RISK"</formula>
    </cfRule>
    <cfRule type="expression" priority="122" aboveAverage="0" equalAverage="0" bottom="0" percent="0" rank="0" text="" dxfId="120">
      <formula>$C$270="BEHIND"</formula>
    </cfRule>
    <cfRule type="expression" priority="123" aboveAverage="0" equalAverage="0" bottom="0" percent="0" rank="0" text="" dxfId="121">
      <formula>$C$270="TIGHT"</formula>
    </cfRule>
    <cfRule type="expression" priority="124" aboveAverage="0" equalAverage="0" bottom="0" percent="0" rank="0" text="" dxfId="122">
      <formula>$C$270="AHEAD"</formula>
    </cfRule>
    <cfRule type="expression" priority="125" aboveAverage="0" equalAverage="0" bottom="0" percent="0" rank="0" text="" dxfId="123">
      <formula>$C$270="ON TIME"</formula>
    </cfRule>
  </conditionalFormatting>
  <conditionalFormatting sqref="K277:BF328">
    <cfRule type="expression" priority="126" aboveAverage="0" equalAverage="0" bottom="0" percent="0" rank="0" text="" dxfId="124">
      <formula>MOD(K$1,6)=0</formula>
    </cfRule>
    <cfRule type="expression" priority="127" aboveAverage="0" equalAverage="0" bottom="0" percent="0" rank="0" text="" dxfId="125">
      <formula>MOD(K$1,24)=0</formula>
    </cfRule>
    <cfRule type="expression" priority="128" aboveAverage="0" equalAverage="0" bottom="0" percent="0" rank="0" text="" dxfId="126">
      <formula>AND($C$1&gt;=$A$1,$C$1&lt;=$B$1,K$1=ROUND((($C$1-$A$1)*24-$D$1)/$E$1,0))</formula>
    </cfRule>
    <cfRule type="expression" priority="129" aboveAverage="0" equalAverage="0" bottom="0" percent="0" rank="0" text="" dxfId="127">
      <formula>AND($BH277&lt;&gt;-999,$BH277&lt;$D$1+(K$1+1)*$E$1,$BI277&gt;$D$1+K$1*$E$1,$BJ277=1)</formula>
    </cfRule>
    <cfRule type="expression" priority="130" aboveAverage="0" equalAverage="0" bottom="0" percent="0" rank="0" text="" dxfId="128">
      <formula>AND($BH277&lt;&gt;-999,$BH277&lt;$D$1+(K$1+1)*$E$1,$BI277&gt;$D$1+K$1*$E$1,$BJ277=2)</formula>
    </cfRule>
    <cfRule type="expression" priority="131" aboveAverage="0" equalAverage="0" bottom="0" percent="0" rank="0" text="" dxfId="129">
      <formula>AND($BH277&lt;&gt;-999,$BH277&lt;$D$1+(K$1+1)*$E$1,$BI277&gt;$D$1+K$1*$E$1,$BJ277=3)</formula>
    </cfRule>
    <cfRule type="expression" priority="132" aboveAverage="0" equalAverage="0" bottom="0" percent="0" rank="0" text="" dxfId="130">
      <formula>AND($BH277&lt;&gt;-999,$BH277&lt;$D$1+(K$1+1)*$E$1,$BI277&gt;$D$1+K$1*$E$1,$BJ277=4)</formula>
    </cfRule>
    <cfRule type="expression" priority="133" aboveAverage="0" equalAverage="0" bottom="0" percent="0" rank="0" text="" dxfId="131">
      <formula>AND($BH277&lt;&gt;-999,$BH277&lt;$D$1+(K$1+1)*$E$1,$BI277&gt;$D$1+K$1*$E$1,$BJ277=5)</formula>
    </cfRule>
    <cfRule type="expression" priority="134" aboveAverage="0" equalAverage="0" bottom="0" percent="0" rank="0" text="" dxfId="132">
      <formula>AND($BO277&lt;&gt;-999,$BO277&lt;$D$1+(K$1+1)*$E$1,$BP277&gt;$D$1+K$1*$E$1)</formula>
    </cfRule>
  </conditionalFormatting>
  <conditionalFormatting sqref="C277:C328">
    <cfRule type="expression" priority="135" aboveAverage="0" equalAverage="0" bottom="0" percent="0" rank="0" text="" dxfId="133">
      <formula>COUNTIF($C277,"!*")&gt;0</formula>
    </cfRule>
    <cfRule type="expression" priority="136" aboveAverage="0" equalAverage="0" bottom="0" percent="0" rank="0" text="" dxfId="134">
      <formula>COUNTIF($C277,"Completed*Delayed")&gt;0</formula>
    </cfRule>
    <cfRule type="expression" priority="137" aboveAverage="0" equalAverage="0" bottom="0" percent="0" rank="0" text="" dxfId="135">
      <formula>COUNTIF($C277,"Completed*")&gt;0</formula>
    </cfRule>
    <cfRule type="expression" priority="138" aboveAverage="0" equalAverage="0" bottom="0" percent="0" rank="0" text="" dxfId="136">
      <formula>COUNTIF($C277,"*BEHIND*")&gt;0</formula>
    </cfRule>
    <cfRule type="expression" priority="139" aboveAverage="0" equalAverage="0" bottom="0" percent="0" rank="0" text="" dxfId="137">
      <formula>COUNTIF($C277,"In Progress*")&gt;0</formula>
    </cfRule>
    <cfRule type="expression" priority="140" aboveAverage="0" equalAverage="0" bottom="0" percent="0" rank="0" text="" dxfId="138">
      <formula>COUNTIF($C277,"NOT STARTED - LATE")&gt;0</formula>
    </cfRule>
  </conditionalFormatting>
  <conditionalFormatting sqref="F277:F328">
    <cfRule type="expression" priority="141" aboveAverage="0" equalAverage="0" bottom="0" percent="0" rank="0" text="" dxfId="139">
      <formula>$F277&gt;0.1</formula>
    </cfRule>
    <cfRule type="expression" priority="142" aboveAverage="0" equalAverage="0" bottom="0" percent="0" rank="0" text="" dxfId="140">
      <formula>$F277&lt;-0.1</formula>
    </cfRule>
  </conditionalFormatting>
  <conditionalFormatting sqref="C329">
    <cfRule type="expression" priority="143" aboveAverage="0" equalAverage="0" bottom="0" percent="0" rank="0" text="" dxfId="141">
      <formula>$C$329="AT RISK"</formula>
    </cfRule>
    <cfRule type="expression" priority="144" aboveAverage="0" equalAverage="0" bottom="0" percent="0" rank="0" text="" dxfId="142">
      <formula>$C$329="BEHIND"</formula>
    </cfRule>
    <cfRule type="expression" priority="145" aboveAverage="0" equalAverage="0" bottom="0" percent="0" rank="0" text="" dxfId="143">
      <formula>$C$329="TIGHT"</formula>
    </cfRule>
    <cfRule type="expression" priority="146" aboveAverage="0" equalAverage="0" bottom="0" percent="0" rank="0" text="" dxfId="144">
      <formula>$C$329="AHEAD"</formula>
    </cfRule>
    <cfRule type="expression" priority="147" aboveAverage="0" equalAverage="0" bottom="0" percent="0" rank="0" text="" dxfId="145">
      <formula>$C$329="ON TIME"</formula>
    </cfRule>
  </conditionalFormatting>
  <conditionalFormatting sqref="I329">
    <cfRule type="expression" priority="148" aboveAverage="0" equalAverage="0" bottom="0" percent="0" rank="0" text="" dxfId="146">
      <formula>$C$329="AT RISK"</formula>
    </cfRule>
    <cfRule type="expression" priority="149" aboveAverage="0" equalAverage="0" bottom="0" percent="0" rank="0" text="" dxfId="147">
      <formula>$C$329="BEHIND"</formula>
    </cfRule>
    <cfRule type="expression" priority="150" aboveAverage="0" equalAverage="0" bottom="0" percent="0" rank="0" text="" dxfId="148">
      <formula>$C$329="TIGHT"</formula>
    </cfRule>
    <cfRule type="expression" priority="151" aboveAverage="0" equalAverage="0" bottom="0" percent="0" rank="0" text="" dxfId="149">
      <formula>$C$329="AHEAD"</formula>
    </cfRule>
    <cfRule type="expression" priority="152" aboveAverage="0" equalAverage="0" bottom="0" percent="0" rank="0" text="" dxfId="150">
      <formula>$C$329="ON TIME"</formula>
    </cfRule>
  </conditionalFormatting>
  <printOptions headings="false" gridLines="false" gridLinesSet="true" horizontalCentered="false" verticalCentered="false"/>
  <pageMargins left="0.2" right="0.2" top="0.25" bottom="0.25" header="0.511811023622047" footer="0.120138888888889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&amp;L&amp;7 &amp;K768692EWR CULVERTS REPLACEMENT PHASE 2  –  SHUTDOWN 03 PROGRESS TRACKER&amp;R&amp;7 &amp;K768692Page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68692"/>
    <pageSetUpPr fitToPage="true"/>
  </sheetPr>
  <dimension ref="A2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13" min="2" style="0" width="11"/>
  </cols>
  <sheetData>
    <row r="2" customFormat="false" ht="19.5" hidden="false" customHeight="true" outlineLevel="0" collapsed="false">
      <c r="A2" s="60" t="s">
        <v>41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customFormat="false" ht="21.75" hidden="false" customHeight="true" outlineLevel="0" collapsed="false">
      <c r="A3" s="61" t="s">
        <v>42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customFormat="false" ht="27.75" hidden="false" customHeight="true" outlineLevel="0" collapsed="false">
      <c r="A4" s="62" t="s">
        <v>43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5" customFormat="false" ht="19.5" hidden="false" customHeight="true" outlineLevel="0" collapsed="false">
      <c r="A35" s="60" t="s">
        <v>41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customFormat="false" ht="21.75" hidden="false" customHeight="true" outlineLevel="0" collapsed="false">
      <c r="A36" s="61" t="s">
        <v>44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</row>
    <row r="37" customFormat="false" ht="27.75" hidden="false" customHeight="true" outlineLevel="0" collapsed="false">
      <c r="A37" s="62" t="s">
        <v>45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</row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8" customFormat="false" ht="15" hidden="false" customHeight="true" outlineLevel="0" collapsed="false">
      <c r="A68" s="63" t="s">
        <v>46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</row>
  </sheetData>
  <mergeCells count="7">
    <mergeCell ref="A2:M2"/>
    <mergeCell ref="A3:M3"/>
    <mergeCell ref="A4:M4"/>
    <mergeCell ref="A35:M35"/>
    <mergeCell ref="A36:M36"/>
    <mergeCell ref="A37:M37"/>
    <mergeCell ref="A68:M68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15"/>
    <col collapsed="false" customWidth="true" hidden="false" outlineLevel="0" max="5" min="5" style="0" width="8"/>
    <col collapsed="false" customWidth="true" hidden="false" outlineLevel="0" max="7" min="6" style="0" width="7.5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1" min="11" style="0" width="12"/>
    <col collapsed="false" customWidth="true" hidden="false" outlineLevel="0" max="14" min="14" style="0" width="11"/>
    <col collapsed="false" customWidth="true" hidden="false" outlineLevel="0" max="15" min="15" style="0" width="21"/>
    <col collapsed="false" customWidth="true" hidden="false" outlineLevel="0" max="16" min="16" style="0" width="26"/>
    <col collapsed="false" customWidth="true" hidden="true" outlineLevel="0" max="26" min="17" style="0" width="12"/>
    <col collapsed="false" customWidth="true" hidden="true" outlineLevel="0" max="28" min="28" style="0" width="12"/>
  </cols>
  <sheetData>
    <row r="1" customFormat="false" ht="27.75" hidden="false" customHeight="true" outlineLevel="0" collapsed="false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customFormat="false" ht="15.75" hidden="false" customHeight="true" outlineLevel="0" collapsed="false">
      <c r="A2" s="65" t="s">
        <v>48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Z2" s="4" t="s">
        <v>49</v>
      </c>
    </row>
    <row r="3" customFormat="false" ht="15" hidden="false" customHeight="false" outlineLevel="0" collapsed="false">
      <c r="Z3" s="0" t="s">
        <v>50</v>
      </c>
    </row>
    <row r="4" customFormat="false" ht="21.75" hidden="false" customHeight="true" outlineLevel="0" collapsed="false">
      <c r="A4" s="66" t="s">
        <v>51</v>
      </c>
      <c r="B4" s="66"/>
      <c r="C4" s="67" t="s">
        <v>0</v>
      </c>
      <c r="D4" s="67"/>
      <c r="E4" s="67"/>
      <c r="F4" s="67"/>
      <c r="G4" s="67"/>
      <c r="H4" s="67"/>
      <c r="I4" s="66" t="s">
        <v>52</v>
      </c>
      <c r="J4" s="66"/>
      <c r="K4" s="67" t="s">
        <v>1</v>
      </c>
      <c r="L4" s="67"/>
      <c r="M4" s="67"/>
      <c r="N4" s="67"/>
      <c r="O4" s="67"/>
      <c r="P4" s="67"/>
      <c r="Z4" s="4" t="s">
        <v>53</v>
      </c>
    </row>
    <row r="5" customFormat="false" ht="19.5" hidden="false" customHeight="true" outlineLevel="0" collapsed="false">
      <c r="A5" s="66" t="s">
        <v>54</v>
      </c>
      <c r="B5" s="66"/>
      <c r="C5" s="68" t="s">
        <v>2</v>
      </c>
      <c r="D5" s="68"/>
      <c r="E5" s="68"/>
      <c r="F5" s="68"/>
      <c r="G5" s="66" t="s">
        <v>55</v>
      </c>
      <c r="H5" s="66"/>
      <c r="I5" s="68" t="s">
        <v>56</v>
      </c>
      <c r="J5" s="68"/>
      <c r="K5" s="66" t="s">
        <v>57</v>
      </c>
      <c r="L5" s="66"/>
      <c r="M5" s="69" t="n">
        <v>46311.75</v>
      </c>
      <c r="N5" s="69"/>
      <c r="O5" s="69"/>
      <c r="P5" s="69"/>
      <c r="Z5" s="4" t="s">
        <v>58</v>
      </c>
    </row>
    <row r="7" customFormat="false" ht="19.5" hidden="false" customHeight="true" outlineLevel="0" collapsed="false">
      <c r="A7" s="22" t="s">
        <v>59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customFormat="false" ht="19.5" hidden="false" customHeight="true" outlineLevel="0" collapsed="false">
      <c r="A8" s="66" t="s">
        <v>60</v>
      </c>
      <c r="B8" s="66"/>
      <c r="C8" s="70" t="n">
        <v>46311</v>
      </c>
      <c r="D8" s="70"/>
      <c r="E8" s="66" t="s">
        <v>61</v>
      </c>
      <c r="F8" s="66"/>
      <c r="G8" s="71" t="n">
        <v>48</v>
      </c>
      <c r="H8" s="71"/>
      <c r="I8" s="66" t="s">
        <v>62</v>
      </c>
      <c r="J8" s="66"/>
      <c r="K8" s="72" t="s">
        <v>63</v>
      </c>
      <c r="L8" s="66" t="s">
        <v>64</v>
      </c>
      <c r="M8" s="66"/>
      <c r="N8" s="73" t="n">
        <f aca="false">$C$8+$G$8*IF($K$8="days",1,1/24)</f>
        <v>46313</v>
      </c>
      <c r="O8" s="73"/>
      <c r="P8" s="73"/>
      <c r="Z8" s="4" t="s">
        <v>63</v>
      </c>
    </row>
    <row r="9" customFormat="false" ht="19.5" hidden="false" customHeight="true" outlineLevel="0" collapsed="false">
      <c r="A9" s="66" t="s">
        <v>65</v>
      </c>
      <c r="B9" s="66"/>
      <c r="C9" s="70" t="n">
        <f aca="false">$C$8</f>
        <v>46311</v>
      </c>
      <c r="D9" s="70"/>
      <c r="E9" s="66" t="s">
        <v>66</v>
      </c>
      <c r="F9" s="66"/>
      <c r="G9" s="71" t="n">
        <v>48</v>
      </c>
      <c r="H9" s="71"/>
      <c r="I9" s="66" t="s">
        <v>62</v>
      </c>
      <c r="J9" s="66"/>
      <c r="K9" s="72" t="s">
        <v>63</v>
      </c>
      <c r="L9" s="66" t="s">
        <v>67</v>
      </c>
      <c r="M9" s="66"/>
      <c r="N9" s="74" t="str">
        <f aca="false">TEXT($G$9*IF($K$9="days",24,1)/48*60,"0")&amp;" min"</f>
        <v>60 min</v>
      </c>
      <c r="O9" s="74"/>
      <c r="P9" s="74"/>
      <c r="Z9" s="4" t="s">
        <v>68</v>
      </c>
    </row>
    <row r="10" customFormat="false" ht="19.5" hidden="false" customHeight="true" outlineLevel="0" collapsed="false">
      <c r="A10" s="66" t="s">
        <v>69</v>
      </c>
      <c r="B10" s="66"/>
      <c r="C10" s="75" t="n">
        <f aca="false">($N$8-$C$8)*24</f>
        <v>48</v>
      </c>
      <c r="D10" s="75"/>
      <c r="E10" s="66" t="s">
        <v>70</v>
      </c>
      <c r="F10" s="66"/>
      <c r="G10" s="74" t="str">
        <f aca="false">TEXT(MEDIAN(0,($M$5-$C$8)*24,$C$10),"0.0")&amp;" h  of  "&amp;TEXT($C$10,"0.0")&amp;" h"</f>
        <v>18.0 h  of  48.0 h</v>
      </c>
      <c r="H10" s="74"/>
      <c r="I10" s="74"/>
      <c r="J10" s="74"/>
      <c r="K10" s="66" t="s">
        <v>71</v>
      </c>
      <c r="L10" s="66"/>
      <c r="M10" s="76" t="n">
        <v>5</v>
      </c>
      <c r="N10" s="77" t="s">
        <v>72</v>
      </c>
      <c r="O10" s="76" t="n">
        <v>26</v>
      </c>
      <c r="P10" s="76"/>
    </row>
    <row r="11" customFormat="false" ht="15" hidden="false" customHeight="false" outlineLevel="0" collapsed="false">
      <c r="A11" s="78" t="s">
        <v>73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</row>
    <row r="12" customFormat="false" ht="15" hidden="false" customHeight="false" outlineLevel="0" collapsed="false">
      <c r="Z12" s="79" t="n">
        <f aca="false">INT($C$8)+0</f>
        <v>46311</v>
      </c>
    </row>
    <row r="13" customFormat="false" ht="19.5" hidden="false" customHeight="true" outlineLevel="0" collapsed="false">
      <c r="A13" s="22" t="s">
        <v>74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Z13" s="79" t="n">
        <f aca="false">INT($C$8)+1</f>
        <v>46312</v>
      </c>
    </row>
    <row r="14" customFormat="false" ht="18" hidden="false" customHeight="true" outlineLevel="0" collapsed="false">
      <c r="A14" s="12" t="s">
        <v>24</v>
      </c>
      <c r="B14" s="12" t="s">
        <v>75</v>
      </c>
      <c r="C14" s="12"/>
      <c r="D14" s="12"/>
      <c r="E14" s="12"/>
      <c r="F14" s="12"/>
      <c r="G14" s="12"/>
      <c r="H14" s="12"/>
      <c r="I14" s="12" t="s">
        <v>76</v>
      </c>
      <c r="J14" s="12"/>
      <c r="K14" s="12"/>
      <c r="L14" s="12"/>
      <c r="M14" s="12"/>
      <c r="N14" s="12"/>
      <c r="O14" s="12"/>
      <c r="P14" s="12"/>
      <c r="Z14" s="79" t="n">
        <f aca="false">INT($C$8)+2</f>
        <v>46313</v>
      </c>
    </row>
    <row r="15" customFormat="false" ht="18" hidden="false" customHeight="true" outlineLevel="0" collapsed="false">
      <c r="A15" s="80" t="n">
        <v>1</v>
      </c>
      <c r="B15" s="81" t="s">
        <v>77</v>
      </c>
      <c r="C15" s="81"/>
      <c r="D15" s="81"/>
      <c r="E15" s="81"/>
      <c r="F15" s="81"/>
      <c r="G15" s="81"/>
      <c r="H15" s="81"/>
      <c r="I15" s="82" t="s">
        <v>78</v>
      </c>
      <c r="J15" s="82"/>
      <c r="K15" s="82"/>
      <c r="L15" s="82"/>
      <c r="M15" s="82"/>
      <c r="N15" s="82"/>
      <c r="O15" s="82"/>
      <c r="P15" s="82"/>
      <c r="Z15" s="79" t="n">
        <f aca="false">INT($C$8)+3</f>
        <v>46314</v>
      </c>
    </row>
    <row r="16" customFormat="false" ht="18" hidden="false" customHeight="true" outlineLevel="0" collapsed="false">
      <c r="A16" s="80" t="n">
        <v>2</v>
      </c>
      <c r="B16" s="81" t="s">
        <v>79</v>
      </c>
      <c r="C16" s="81"/>
      <c r="D16" s="81"/>
      <c r="E16" s="81"/>
      <c r="F16" s="81"/>
      <c r="G16" s="81"/>
      <c r="H16" s="81"/>
      <c r="I16" s="82" t="s">
        <v>80</v>
      </c>
      <c r="J16" s="82"/>
      <c r="K16" s="82"/>
      <c r="L16" s="82"/>
      <c r="M16" s="82"/>
      <c r="N16" s="82"/>
      <c r="O16" s="82"/>
      <c r="P16" s="82"/>
      <c r="Z16" s="79" t="n">
        <f aca="false">INT($C$8)+4</f>
        <v>46315</v>
      </c>
    </row>
    <row r="17" customFormat="false" ht="18" hidden="false" customHeight="true" outlineLevel="0" collapsed="false">
      <c r="A17" s="80" t="n">
        <v>3</v>
      </c>
      <c r="B17" s="81" t="s">
        <v>81</v>
      </c>
      <c r="C17" s="81"/>
      <c r="D17" s="81"/>
      <c r="E17" s="81"/>
      <c r="F17" s="81"/>
      <c r="G17" s="81"/>
      <c r="H17" s="81"/>
      <c r="I17" s="82" t="s">
        <v>80</v>
      </c>
      <c r="J17" s="82"/>
      <c r="K17" s="82"/>
      <c r="L17" s="82"/>
      <c r="M17" s="82"/>
      <c r="N17" s="82"/>
      <c r="O17" s="82"/>
      <c r="P17" s="82"/>
    </row>
    <row r="18" customFormat="false" ht="18" hidden="false" customHeight="true" outlineLevel="0" collapsed="false">
      <c r="A18" s="80" t="n">
        <v>4</v>
      </c>
      <c r="B18" s="81" t="s">
        <v>82</v>
      </c>
      <c r="C18" s="81"/>
      <c r="D18" s="81"/>
      <c r="E18" s="81"/>
      <c r="F18" s="81"/>
      <c r="G18" s="81"/>
      <c r="H18" s="81"/>
      <c r="I18" s="82" t="s">
        <v>83</v>
      </c>
      <c r="J18" s="82"/>
      <c r="K18" s="82"/>
      <c r="L18" s="82"/>
      <c r="M18" s="82"/>
      <c r="N18" s="82"/>
      <c r="O18" s="82"/>
      <c r="P18" s="82"/>
    </row>
    <row r="19" customFormat="false" ht="18" hidden="false" customHeight="true" outlineLevel="0" collapsed="false">
      <c r="A19" s="80" t="n">
        <v>5</v>
      </c>
      <c r="B19" s="81" t="s">
        <v>84</v>
      </c>
      <c r="C19" s="81"/>
      <c r="D19" s="81"/>
      <c r="E19" s="81"/>
      <c r="F19" s="81"/>
      <c r="G19" s="81"/>
      <c r="H19" s="81"/>
      <c r="I19" s="82" t="s">
        <v>83</v>
      </c>
      <c r="J19" s="82"/>
      <c r="K19" s="82"/>
      <c r="L19" s="82"/>
      <c r="M19" s="82"/>
      <c r="N19" s="82"/>
      <c r="O19" s="82"/>
      <c r="P19" s="82"/>
    </row>
    <row r="25" customFormat="false" ht="24" hidden="false" customHeight="true" outlineLevel="0" collapsed="false">
      <c r="A25" s="83" t="str">
        <f aca="false">IF($B$15="","LOCATION 1  -  not used","   LOCATION 1  -  "&amp;$B$15)</f>
        <v>   LOCATION 1  -  C263  –  KM 209+025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customFormat="false" ht="30" hidden="false" customHeight="true" outlineLevel="0" collapsed="false">
      <c r="A26" s="11" t="s">
        <v>24</v>
      </c>
      <c r="B26" s="11" t="s">
        <v>85</v>
      </c>
      <c r="C26" s="11" t="s">
        <v>86</v>
      </c>
      <c r="D26" s="11" t="s">
        <v>9</v>
      </c>
      <c r="E26" s="11" t="s">
        <v>87</v>
      </c>
      <c r="F26" s="11" t="s">
        <v>88</v>
      </c>
      <c r="G26" s="11" t="s">
        <v>89</v>
      </c>
      <c r="H26" s="11" t="s">
        <v>90</v>
      </c>
      <c r="I26" s="84" t="s">
        <v>91</v>
      </c>
      <c r="J26" s="84" t="s">
        <v>92</v>
      </c>
      <c r="K26" s="84" t="s">
        <v>93</v>
      </c>
      <c r="L26" s="84" t="s">
        <v>94</v>
      </c>
      <c r="M26" s="11" t="s">
        <v>95</v>
      </c>
      <c r="N26" s="84" t="s">
        <v>96</v>
      </c>
      <c r="O26" s="11" t="s">
        <v>97</v>
      </c>
      <c r="P26" s="84" t="s">
        <v>98</v>
      </c>
    </row>
    <row r="27" customFormat="false" ht="19.5" hidden="false" customHeight="true" outlineLevel="0" collapsed="false">
      <c r="A27" s="85" t="n">
        <f aca="false">IF(OR($B27="",1&gt;$O$10),"",1)</f>
        <v>1</v>
      </c>
      <c r="B27" s="86" t="s">
        <v>99</v>
      </c>
      <c r="C27" s="87" t="n">
        <f aca="true">IF(OR($B27="",1&gt;$O$10),"",IF($F27=0,$C$8,IF($G27="SS",OFFSET($C$26,$F27,0)+$H27/24,IF($G27="FF",OFFSET($D$26,$F27,0)+$H27/24-$E27/24,IF($G27="SF",OFFSET($C$26,$F27,0)+$H27/24-$E27/24,OFFSET($D$26,$F27,0)+$H27/24)))))</f>
        <v>46311</v>
      </c>
      <c r="D27" s="87" t="n">
        <f aca="false">IF(OR($B27="",1&gt;$O$10),"",$C27+$E27/24)</f>
        <v>46311.0416666667</v>
      </c>
      <c r="E27" s="88" t="n">
        <v>1</v>
      </c>
      <c r="F27" s="89" t="n">
        <v>0</v>
      </c>
      <c r="G27" s="90" t="s">
        <v>49</v>
      </c>
      <c r="H27" s="91" t="n">
        <v>0</v>
      </c>
      <c r="I27" s="92"/>
      <c r="J27" s="93"/>
      <c r="K27" s="92"/>
      <c r="L27" s="93"/>
      <c r="M27" s="94" t="str">
        <f aca="false">IF(OR($Q27="",$R27="",$V27=1),"",($R27-$Q27)*24)</f>
        <v/>
      </c>
      <c r="N27" s="95"/>
      <c r="O27" s="96" t="str">
        <f aca="false">IF(OR($B27="",1&gt;$O$10),"",IF($AB27=1,"! CHECK LINK",IF($V27=1,"! CHECK DATES",IF($S27=1,IF($R27="","Completed",IF($R27&lt;$D27,"Completed - Ahead",IF($R27&lt;=$D27+1/1440,"Completed - On Time","Completed - Delayed"))),IF($Q27&lt;&gt;"",IF($Y27&lt;=0.1,"In Progress - On Track","In Progress - BEHIND"),IF($M$5&lt;$C27,"Not Started","NOT STARTED - LATE"))))))</f>
        <v>NOT STARTED - LATE</v>
      </c>
      <c r="P27" s="97"/>
      <c r="Q27" s="0" t="str">
        <f aca="false">IF($I27="","",$I27+IF($J27="",0,$J27))</f>
        <v/>
      </c>
      <c r="R27" s="0" t="str">
        <f aca="false">IF($K27="","",$K27+IF($L27="",0,$L27))</f>
        <v/>
      </c>
      <c r="S27" s="4" t="n">
        <f aca="false">IF($V27=1,0,IF($R27&lt;&gt;"",1,IF($N27="",0,$N27)))</f>
        <v>0</v>
      </c>
      <c r="T27" s="4" t="n">
        <f aca="false">IF(OR($B27="",$E27=0),0,MEDIAN(0,($M$5-$C27)/($E27/24),1))</f>
        <v>1</v>
      </c>
      <c r="U27" s="4" t="n">
        <f aca="false">($S27-$T27)*$E27</f>
        <v>-1</v>
      </c>
      <c r="V27" s="4" t="n">
        <f aca="false">IF(OR(AND($Q27&lt;&gt;"",$Q27&lt;$C$8),AND($Q27&lt;&gt;"",$R27&lt;&gt;"",$R27&lt;$Q27),AND($R27&lt;&gt;"",$Q27="")),1,0)</f>
        <v>0</v>
      </c>
      <c r="W27" s="98" t="n">
        <f aca="false">IF($B27="","",IF($S27=1,IF($R27&lt;&gt;"",$R27,$D27),IF($Q27&lt;&gt;"",MAX($M$5,$Q27)+$E27*(1-$S27)/24,MAX($M$5,$C27)+$E27/24)))</f>
        <v>46311.7916666667</v>
      </c>
      <c r="X27" s="4" t="n">
        <f aca="false">IF($B27="","",ROUND(($W27-$D27)*24,1))</f>
        <v>18</v>
      </c>
      <c r="Y27" s="4" t="n">
        <f aca="false">IF($B27="","",$X27)</f>
        <v>18</v>
      </c>
      <c r="AB27" s="4" t="n">
        <f aca="false">IF(AND($B27&lt;&gt;"",$F27&gt;=1),1,0)</f>
        <v>0</v>
      </c>
    </row>
    <row r="28" customFormat="false" ht="19.5" hidden="false" customHeight="true" outlineLevel="0" collapsed="false">
      <c r="A28" s="85" t="n">
        <f aca="false">IF(OR($B28="",2&gt;$O$10),"",2)</f>
        <v>2</v>
      </c>
      <c r="B28" s="86" t="s">
        <v>100</v>
      </c>
      <c r="C28" s="87" t="n">
        <f aca="true">IF(OR($B28="",2&gt;$O$10),"",IF($F28=0,$C$8,IF($G28="SS",OFFSET($C$26,$F28,0)+$H28/24,IF($G28="FF",OFFSET($D$26,$F28,0)+$H28/24-$E28/24,IF($G28="SF",OFFSET($C$26,$F28,0)+$H28/24-$E28/24,OFFSET($D$26,$F28,0)+$H28/24)))))</f>
        <v>46311.0416666667</v>
      </c>
      <c r="D28" s="87" t="n">
        <f aca="false">IF(OR($B28="",2&gt;$O$10),"",$C28+$E28/24)</f>
        <v>46311.0833333333</v>
      </c>
      <c r="E28" s="88" t="n">
        <v>1</v>
      </c>
      <c r="F28" s="89" t="n">
        <v>1</v>
      </c>
      <c r="G28" s="90" t="s">
        <v>49</v>
      </c>
      <c r="H28" s="91" t="n">
        <v>0</v>
      </c>
      <c r="I28" s="92"/>
      <c r="J28" s="93"/>
      <c r="K28" s="92"/>
      <c r="L28" s="93"/>
      <c r="M28" s="94" t="str">
        <f aca="false">IF(OR($Q28="",$R28="",$V28=1),"",($R28-$Q28)*24)</f>
        <v/>
      </c>
      <c r="N28" s="95"/>
      <c r="O28" s="96" t="str">
        <f aca="false">IF(OR($B28="",2&gt;$O$10),"",IF($AB28=1,"! CHECK LINK",IF($V28=1,"! CHECK DATES",IF($S28=1,IF($R28="","Completed",IF($R28&lt;$D28,"Completed - Ahead",IF($R28&lt;=$D28+1/1440,"Completed - On Time","Completed - Delayed"))),IF($Q28&lt;&gt;"",IF($Y28&lt;=0.1,"In Progress - On Track","In Progress - BEHIND"),IF($M$5&lt;$C28,"Not Started","NOT STARTED - LATE"))))))</f>
        <v>NOT STARTED - LATE</v>
      </c>
      <c r="P28" s="97"/>
      <c r="Q28" s="0" t="str">
        <f aca="false">IF($I28="","",$I28+IF($J28="",0,$J28))</f>
        <v/>
      </c>
      <c r="R28" s="0" t="str">
        <f aca="false">IF($K28="","",$K28+IF($L28="",0,$L28))</f>
        <v/>
      </c>
      <c r="S28" s="4" t="n">
        <f aca="false">IF($V28=1,0,IF($R28&lt;&gt;"",1,IF($N28="",0,$N28)))</f>
        <v>0</v>
      </c>
      <c r="T28" s="4" t="n">
        <f aca="false">IF(OR($B28="",$E28=0),0,MEDIAN(0,($M$5-$C28)/($E28/24),1))</f>
        <v>1</v>
      </c>
      <c r="U28" s="4" t="n">
        <f aca="false">($S28-$T28)*$E28</f>
        <v>-1</v>
      </c>
      <c r="V28" s="4" t="n">
        <f aca="false">IF(OR(AND($Q28&lt;&gt;"",$Q28&lt;$C$8),AND($Q28&lt;&gt;"",$R28&lt;&gt;"",$R28&lt;$Q28),AND($R28&lt;&gt;"",$Q28="")),1,0)</f>
        <v>0</v>
      </c>
      <c r="W28" s="98" t="n">
        <f aca="false">IF($B28="","",IF($S28=1,IF($R28&lt;&gt;"",$R28,$D28),IF($Q28&lt;&gt;"",MAX($M$5,$Q28)+$E28*(1-$S28)/24,MAX($M$5,$C28)+$E28/24)))</f>
        <v>46311.7916666667</v>
      </c>
      <c r="X28" s="4" t="n">
        <f aca="false">IF($B28="","",ROUND(($W28-$D28)*24,1))</f>
        <v>17</v>
      </c>
      <c r="Y28" s="4" t="n">
        <f aca="false">IF($B28="","",IF($Q28&lt;&gt;"",$X28,IF($X28&gt;0,MAX($X28,IF($Y27="",0,IF($Y27&gt;0,$Y27-MAX(0,($C28-$D27)*24),$Y27))),IF($Y27="",0,IF($Y27&gt;0,$Y27-MAX(0,($C28-$D27)*24),$Y27)))))</f>
        <v>18</v>
      </c>
      <c r="AB28" s="4" t="n">
        <f aca="false">IF(AND($B28&lt;&gt;"",$F28&gt;=2),1,0)</f>
        <v>0</v>
      </c>
    </row>
    <row r="29" customFormat="false" ht="19.5" hidden="false" customHeight="true" outlineLevel="0" collapsed="false">
      <c r="A29" s="85" t="n">
        <f aca="false">IF(OR($B29="",3&gt;$O$10),"",3)</f>
        <v>3</v>
      </c>
      <c r="B29" s="86" t="s">
        <v>101</v>
      </c>
      <c r="C29" s="87" t="n">
        <f aca="true">IF(OR($B29="",3&gt;$O$10),"",IF($F29=0,$C$8,IF($G29="SS",OFFSET($C$26,$F29,0)+$H29/24,IF($G29="FF",OFFSET($D$26,$F29,0)+$H29/24-$E29/24,IF($G29="SF",OFFSET($C$26,$F29,0)+$H29/24-$E29/24,OFFSET($D$26,$F29,0)+$H29/24)))))</f>
        <v>46311</v>
      </c>
      <c r="D29" s="87" t="n">
        <f aca="false">IF(OR($B29="",3&gt;$O$10),"",$C29+$E29/24)</f>
        <v>46311.0416666667</v>
      </c>
      <c r="E29" s="88" t="n">
        <v>1</v>
      </c>
      <c r="F29" s="89" t="n">
        <v>1</v>
      </c>
      <c r="G29" s="90" t="s">
        <v>50</v>
      </c>
      <c r="H29" s="91" t="n">
        <v>0</v>
      </c>
      <c r="I29" s="92"/>
      <c r="J29" s="93"/>
      <c r="K29" s="92"/>
      <c r="L29" s="93"/>
      <c r="M29" s="94" t="str">
        <f aca="false">IF(OR($Q29="",$R29="",$V29=1),"",($R29-$Q29)*24)</f>
        <v/>
      </c>
      <c r="N29" s="95"/>
      <c r="O29" s="96" t="str">
        <f aca="false">IF(OR($B29="",3&gt;$O$10),"",IF($AB29=1,"! CHECK LINK",IF($V29=1,"! CHECK DATES",IF($S29=1,IF($R29="","Completed",IF($R29&lt;$D29,"Completed - Ahead",IF($R29&lt;=$D29+1/1440,"Completed - On Time","Completed - Delayed"))),IF($Q29&lt;&gt;"",IF($Y29&lt;=0.1,"In Progress - On Track","In Progress - BEHIND"),IF($M$5&lt;$C29,"Not Started","NOT STARTED - LATE"))))))</f>
        <v>NOT STARTED - LATE</v>
      </c>
      <c r="P29" s="97"/>
      <c r="Q29" s="0" t="str">
        <f aca="false">IF($I29="","",$I29+IF($J29="",0,$J29))</f>
        <v/>
      </c>
      <c r="R29" s="0" t="str">
        <f aca="false">IF($K29="","",$K29+IF($L29="",0,$L29))</f>
        <v/>
      </c>
      <c r="S29" s="4" t="n">
        <f aca="false">IF($V29=1,0,IF($R29&lt;&gt;"",1,IF($N29="",0,$N29)))</f>
        <v>0</v>
      </c>
      <c r="T29" s="4" t="n">
        <f aca="false">IF(OR($B29="",$E29=0),0,MEDIAN(0,($M$5-$C29)/($E29/24),1))</f>
        <v>1</v>
      </c>
      <c r="U29" s="4" t="n">
        <f aca="false">($S29-$T29)*$E29</f>
        <v>-1</v>
      </c>
      <c r="V29" s="4" t="n">
        <f aca="false">IF(OR(AND($Q29&lt;&gt;"",$Q29&lt;$C$8),AND($Q29&lt;&gt;"",$R29&lt;&gt;"",$R29&lt;$Q29),AND($R29&lt;&gt;"",$Q29="")),1,0)</f>
        <v>0</v>
      </c>
      <c r="W29" s="98" t="n">
        <f aca="false">IF($B29="","",IF($S29=1,IF($R29&lt;&gt;"",$R29,$D29),IF($Q29&lt;&gt;"",MAX($M$5,$Q29)+$E29*(1-$S29)/24,MAX($M$5,$C29)+$E29/24)))</f>
        <v>46311.7916666667</v>
      </c>
      <c r="X29" s="4" t="n">
        <f aca="false">IF($B29="","",ROUND(($W29-$D29)*24,1))</f>
        <v>18</v>
      </c>
      <c r="Y29" s="4" t="n">
        <f aca="false">IF($B29="","",IF($Q29&lt;&gt;"",$X29,IF($X29&gt;0,MAX($X29,IF($Y28="",0,IF($Y28&gt;0,$Y28-MAX(0,($C29-$D28)*24),$Y28))),IF($Y28="",0,IF($Y28&gt;0,$Y28-MAX(0,($C29-$D28)*24),$Y28)))))</f>
        <v>18</v>
      </c>
      <c r="AB29" s="4" t="n">
        <f aca="false">IF(AND($B29&lt;&gt;"",$F29&gt;=3),1,0)</f>
        <v>0</v>
      </c>
    </row>
    <row r="30" customFormat="false" ht="19.5" hidden="false" customHeight="true" outlineLevel="0" collapsed="false">
      <c r="A30" s="85" t="n">
        <f aca="false">IF(OR($B30="",4&gt;$O$10),"",4)</f>
        <v>4</v>
      </c>
      <c r="B30" s="86" t="s">
        <v>102</v>
      </c>
      <c r="C30" s="87" t="n">
        <f aca="true">IF(OR($B30="",4&gt;$O$10),"",IF($F30=0,$C$8,IF($G30="SS",OFFSET($C$26,$F30,0)+$H30/24,IF($G30="FF",OFFSET($D$26,$F30,0)+$H30/24-$E30/24,IF($G30="SF",OFFSET($C$26,$F30,0)+$H30/24-$E30/24,OFFSET($D$26,$F30,0)+$H30/24)))))</f>
        <v>46311.0416666667</v>
      </c>
      <c r="D30" s="87" t="n">
        <f aca="false">IF(OR($B30="",4&gt;$O$10),"",$C30+$E30/24)</f>
        <v>46311.0833333333</v>
      </c>
      <c r="E30" s="88" t="n">
        <v>1</v>
      </c>
      <c r="F30" s="89" t="n">
        <v>3</v>
      </c>
      <c r="G30" s="90" t="s">
        <v>49</v>
      </c>
      <c r="H30" s="91" t="n">
        <v>0</v>
      </c>
      <c r="I30" s="92"/>
      <c r="J30" s="93"/>
      <c r="K30" s="92"/>
      <c r="L30" s="93"/>
      <c r="M30" s="94" t="str">
        <f aca="false">IF(OR($Q30="",$R30="",$V30=1),"",($R30-$Q30)*24)</f>
        <v/>
      </c>
      <c r="N30" s="95"/>
      <c r="O30" s="96" t="str">
        <f aca="false">IF(OR($B30="",4&gt;$O$10),"",IF($AB30=1,"! CHECK LINK",IF($V30=1,"! CHECK DATES",IF($S30=1,IF($R30="","Completed",IF($R30&lt;$D30,"Completed - Ahead",IF($R30&lt;=$D30+1/1440,"Completed - On Time","Completed - Delayed"))),IF($Q30&lt;&gt;"",IF($Y30&lt;=0.1,"In Progress - On Track","In Progress - BEHIND"),IF($M$5&lt;$C30,"Not Started","NOT STARTED - LATE"))))))</f>
        <v>NOT STARTED - LATE</v>
      </c>
      <c r="P30" s="97"/>
      <c r="Q30" s="0" t="str">
        <f aca="false">IF($I30="","",$I30+IF($J30="",0,$J30))</f>
        <v/>
      </c>
      <c r="R30" s="0" t="str">
        <f aca="false">IF($K30="","",$K30+IF($L30="",0,$L30))</f>
        <v/>
      </c>
      <c r="S30" s="4" t="n">
        <f aca="false">IF($V30=1,0,IF($R30&lt;&gt;"",1,IF($N30="",0,$N30)))</f>
        <v>0</v>
      </c>
      <c r="T30" s="4" t="n">
        <f aca="false">IF(OR($B30="",$E30=0),0,MEDIAN(0,($M$5-$C30)/($E30/24),1))</f>
        <v>1</v>
      </c>
      <c r="U30" s="4" t="n">
        <f aca="false">($S30-$T30)*$E30</f>
        <v>-1</v>
      </c>
      <c r="V30" s="4" t="n">
        <f aca="false">IF(OR(AND($Q30&lt;&gt;"",$Q30&lt;$C$8),AND($Q30&lt;&gt;"",$R30&lt;&gt;"",$R30&lt;$Q30),AND($R30&lt;&gt;"",$Q30="")),1,0)</f>
        <v>0</v>
      </c>
      <c r="W30" s="98" t="n">
        <f aca="false">IF($B30="","",IF($S30=1,IF($R30&lt;&gt;"",$R30,$D30),IF($Q30&lt;&gt;"",MAX($M$5,$Q30)+$E30*(1-$S30)/24,MAX($M$5,$C30)+$E30/24)))</f>
        <v>46311.7916666667</v>
      </c>
      <c r="X30" s="4" t="n">
        <f aca="false">IF($B30="","",ROUND(($W30-$D30)*24,1))</f>
        <v>17</v>
      </c>
      <c r="Y30" s="4" t="n">
        <f aca="false">IF($B30="","",IF($Q30&lt;&gt;"",$X30,IF($X30&gt;0,MAX($X30,IF($Y29="",0,IF($Y29&gt;0,$Y29-MAX(0,($C30-$D29)*24),$Y29))),IF($Y29="",0,IF($Y29&gt;0,$Y29-MAX(0,($C30-$D29)*24),$Y29)))))</f>
        <v>18</v>
      </c>
      <c r="AB30" s="4" t="n">
        <f aca="false">IF(AND($B30&lt;&gt;"",$F30&gt;=4),1,0)</f>
        <v>0</v>
      </c>
    </row>
    <row r="31" customFormat="false" ht="19.5" hidden="false" customHeight="true" outlineLevel="0" collapsed="false">
      <c r="A31" s="85" t="n">
        <f aca="false">IF(OR($B31="",5&gt;$O$10),"",5)</f>
        <v>5</v>
      </c>
      <c r="B31" s="86" t="s">
        <v>103</v>
      </c>
      <c r="C31" s="87" t="n">
        <f aca="true">IF(OR($B31="",5&gt;$O$10),"",IF($F31=0,$C$8,IF($G31="SS",OFFSET($C$26,$F31,0)+$H31/24,IF($G31="FF",OFFSET($D$26,$F31,0)+$H31/24-$E31/24,IF($G31="SF",OFFSET($C$26,$F31,0)+$H31/24-$E31/24,OFFSET($D$26,$F31,0)+$H31/24)))))</f>
        <v>46311.0833333333</v>
      </c>
      <c r="D31" s="87" t="n">
        <f aca="false">IF(OR($B31="",5&gt;$O$10),"",$C31+$E31/24)</f>
        <v>46311.2083333333</v>
      </c>
      <c r="E31" s="88" t="n">
        <v>3</v>
      </c>
      <c r="F31" s="89" t="n">
        <v>4</v>
      </c>
      <c r="G31" s="90" t="s">
        <v>49</v>
      </c>
      <c r="H31" s="91" t="n">
        <v>0</v>
      </c>
      <c r="I31" s="92"/>
      <c r="J31" s="93"/>
      <c r="K31" s="92"/>
      <c r="L31" s="93"/>
      <c r="M31" s="94" t="str">
        <f aca="false">IF(OR($Q31="",$R31="",$V31=1),"",($R31-$Q31)*24)</f>
        <v/>
      </c>
      <c r="N31" s="95"/>
      <c r="O31" s="96" t="str">
        <f aca="false">IF(OR($B31="",5&gt;$O$10),"",IF($AB31=1,"! CHECK LINK",IF($V31=1,"! CHECK DATES",IF($S31=1,IF($R31="","Completed",IF($R31&lt;$D31,"Completed - Ahead",IF($R31&lt;=$D31+1/1440,"Completed - On Time","Completed - Delayed"))),IF($Q31&lt;&gt;"",IF($Y31&lt;=0.1,"In Progress - On Track","In Progress - BEHIND"),IF($M$5&lt;$C31,"Not Started","NOT STARTED - LATE"))))))</f>
        <v>NOT STARTED - LATE</v>
      </c>
      <c r="P31" s="97"/>
      <c r="Q31" s="0" t="str">
        <f aca="false">IF($I31="","",$I31+IF($J31="",0,$J31))</f>
        <v/>
      </c>
      <c r="R31" s="0" t="str">
        <f aca="false">IF($K31="","",$K31+IF($L31="",0,$L31))</f>
        <v/>
      </c>
      <c r="S31" s="4" t="n">
        <f aca="false">IF($V31=1,0,IF($R31&lt;&gt;"",1,IF($N31="",0,$N31)))</f>
        <v>0</v>
      </c>
      <c r="T31" s="4" t="n">
        <f aca="false">IF(OR($B31="",$E31=0),0,MEDIAN(0,($M$5-$C31)/($E31/24),1))</f>
        <v>1</v>
      </c>
      <c r="U31" s="4" t="n">
        <f aca="false">($S31-$T31)*$E31</f>
        <v>-3</v>
      </c>
      <c r="V31" s="4" t="n">
        <f aca="false">IF(OR(AND($Q31&lt;&gt;"",$Q31&lt;$C$8),AND($Q31&lt;&gt;"",$R31&lt;&gt;"",$R31&lt;$Q31),AND($R31&lt;&gt;"",$Q31="")),1,0)</f>
        <v>0</v>
      </c>
      <c r="W31" s="98" t="n">
        <f aca="false">IF($B31="","",IF($S31=1,IF($R31&lt;&gt;"",$R31,$D31),IF($Q31&lt;&gt;"",MAX($M$5,$Q31)+$E31*(1-$S31)/24,MAX($M$5,$C31)+$E31/24)))</f>
        <v>46311.875</v>
      </c>
      <c r="X31" s="4" t="n">
        <f aca="false">IF($B31="","",ROUND(($W31-$D31)*24,1))</f>
        <v>16</v>
      </c>
      <c r="Y31" s="4" t="n">
        <f aca="false">IF($B31="","",IF($Q31&lt;&gt;"",$X31,IF($X31&gt;0,MAX($X31,IF($Y30="",0,IF($Y30&gt;0,$Y30-MAX(0,($C31-$D30)*24),$Y30))),IF($Y30="",0,IF($Y30&gt;0,$Y30-MAX(0,($C31-$D30)*24),$Y30)))))</f>
        <v>18</v>
      </c>
      <c r="AB31" s="4" t="n">
        <f aca="false">IF(AND($B31&lt;&gt;"",$F31&gt;=5),1,0)</f>
        <v>0</v>
      </c>
    </row>
    <row r="32" customFormat="false" ht="19.5" hidden="false" customHeight="true" outlineLevel="0" collapsed="false">
      <c r="A32" s="85" t="n">
        <f aca="false">IF(OR($B32="",6&gt;$O$10),"",6)</f>
        <v>6</v>
      </c>
      <c r="B32" s="86" t="s">
        <v>104</v>
      </c>
      <c r="C32" s="87" t="n">
        <f aca="true">IF(OR($B32="",6&gt;$O$10),"",IF($F32=0,$C$8,IF($G32="SS",OFFSET($C$26,$F32,0)+$H32/24,IF($G32="FF",OFFSET($D$26,$F32,0)+$H32/24-$E32/24,IF($G32="SF",OFFSET($C$26,$F32,0)+$H32/24-$E32/24,OFFSET($D$26,$F32,0)+$H32/24)))))</f>
        <v>46311.2083333333</v>
      </c>
      <c r="D32" s="87" t="n">
        <f aca="false">IF(OR($B32="",6&gt;$O$10),"",$C32+$E32/24)</f>
        <v>46311.375</v>
      </c>
      <c r="E32" s="88" t="n">
        <v>4</v>
      </c>
      <c r="F32" s="89" t="n">
        <v>5</v>
      </c>
      <c r="G32" s="90" t="s">
        <v>49</v>
      </c>
      <c r="H32" s="91" t="n">
        <v>0</v>
      </c>
      <c r="I32" s="92"/>
      <c r="J32" s="93"/>
      <c r="K32" s="92"/>
      <c r="L32" s="93"/>
      <c r="M32" s="94" t="str">
        <f aca="false">IF(OR($Q32="",$R32="",$V32=1),"",($R32-$Q32)*24)</f>
        <v/>
      </c>
      <c r="N32" s="95"/>
      <c r="O32" s="96" t="str">
        <f aca="false">IF(OR($B32="",6&gt;$O$10),"",IF($AB32=1,"! CHECK LINK",IF($V32=1,"! CHECK DATES",IF($S32=1,IF($R32="","Completed",IF($R32&lt;$D32,"Completed - Ahead",IF($R32&lt;=$D32+1/1440,"Completed - On Time","Completed - Delayed"))),IF($Q32&lt;&gt;"",IF($Y32&lt;=0.1,"In Progress - On Track","In Progress - BEHIND"),IF($M$5&lt;$C32,"Not Started","NOT STARTED - LATE"))))))</f>
        <v>NOT STARTED - LATE</v>
      </c>
      <c r="P32" s="97"/>
      <c r="Q32" s="0" t="str">
        <f aca="false">IF($I32="","",$I32+IF($J32="",0,$J32))</f>
        <v/>
      </c>
      <c r="R32" s="0" t="str">
        <f aca="false">IF($K32="","",$K32+IF($L32="",0,$L32))</f>
        <v/>
      </c>
      <c r="S32" s="4" t="n">
        <f aca="false">IF($V32=1,0,IF($R32&lt;&gt;"",1,IF($N32="",0,$N32)))</f>
        <v>0</v>
      </c>
      <c r="T32" s="4" t="n">
        <f aca="false">IF(OR($B32="",$E32=0),0,MEDIAN(0,($M$5-$C32)/($E32/24),1))</f>
        <v>1</v>
      </c>
      <c r="U32" s="4" t="n">
        <f aca="false">($S32-$T32)*$E32</f>
        <v>-4</v>
      </c>
      <c r="V32" s="4" t="n">
        <f aca="false">IF(OR(AND($Q32&lt;&gt;"",$Q32&lt;$C$8),AND($Q32&lt;&gt;"",$R32&lt;&gt;"",$R32&lt;$Q32),AND($R32&lt;&gt;"",$Q32="")),1,0)</f>
        <v>0</v>
      </c>
      <c r="W32" s="98" t="n">
        <f aca="false">IF($B32="","",IF($S32=1,IF($R32&lt;&gt;"",$R32,$D32),IF($Q32&lt;&gt;"",MAX($M$5,$Q32)+$E32*(1-$S32)/24,MAX($M$5,$C32)+$E32/24)))</f>
        <v>46311.9166666667</v>
      </c>
      <c r="X32" s="4" t="n">
        <f aca="false">IF($B32="","",ROUND(($W32-$D32)*24,1))</f>
        <v>13</v>
      </c>
      <c r="Y32" s="4" t="n">
        <f aca="false">IF($B32="","",IF($Q32&lt;&gt;"",$X32,IF($X32&gt;0,MAX($X32,IF($Y31="",0,IF($Y31&gt;0,$Y31-MAX(0,($C32-$D31)*24),$Y31))),IF($Y31="",0,IF($Y31&gt;0,$Y31-MAX(0,($C32-$D31)*24),$Y31)))))</f>
        <v>18</v>
      </c>
      <c r="AB32" s="4" t="n">
        <f aca="false">IF(AND($B32&lt;&gt;"",$F32&gt;=6),1,0)</f>
        <v>0</v>
      </c>
    </row>
    <row r="33" customFormat="false" ht="19.5" hidden="false" customHeight="true" outlineLevel="0" collapsed="false">
      <c r="A33" s="85" t="n">
        <f aca="false">IF(OR($B33="",7&gt;$O$10),"",7)</f>
        <v>7</v>
      </c>
      <c r="B33" s="86" t="s">
        <v>105</v>
      </c>
      <c r="C33" s="87" t="n">
        <f aca="true">IF(OR($B33="",7&gt;$O$10),"",IF($F33=0,$C$8,IF($G33="SS",OFFSET($C$26,$F33,0)+$H33/24,IF($G33="FF",OFFSET($D$26,$F33,0)+$H33/24-$E33/24,IF($G33="SF",OFFSET($C$26,$F33,0)+$H33/24-$E33/24,OFFSET($D$26,$F33,0)+$H33/24)))))</f>
        <v>46311.375</v>
      </c>
      <c r="D33" s="87" t="n">
        <f aca="false">IF(OR($B33="",7&gt;$O$10),"",$C33+$E33/24)</f>
        <v>46311.4583333333</v>
      </c>
      <c r="E33" s="88" t="n">
        <v>2</v>
      </c>
      <c r="F33" s="89" t="n">
        <v>6</v>
      </c>
      <c r="G33" s="90" t="s">
        <v>49</v>
      </c>
      <c r="H33" s="91" t="n">
        <v>0</v>
      </c>
      <c r="I33" s="92"/>
      <c r="J33" s="93"/>
      <c r="K33" s="92"/>
      <c r="L33" s="93"/>
      <c r="M33" s="94" t="str">
        <f aca="false">IF(OR($Q33="",$R33="",$V33=1),"",($R33-$Q33)*24)</f>
        <v/>
      </c>
      <c r="N33" s="95"/>
      <c r="O33" s="96" t="str">
        <f aca="false">IF(OR($B33="",7&gt;$O$10),"",IF($AB33=1,"! CHECK LINK",IF($V33=1,"! CHECK DATES",IF($S33=1,IF($R33="","Completed",IF($R33&lt;$D33,"Completed - Ahead",IF($R33&lt;=$D33+1/1440,"Completed - On Time","Completed - Delayed"))),IF($Q33&lt;&gt;"",IF($Y33&lt;=0.1,"In Progress - On Track","In Progress - BEHIND"),IF($M$5&lt;$C33,"Not Started","NOT STARTED - LATE"))))))</f>
        <v>NOT STARTED - LATE</v>
      </c>
      <c r="P33" s="97"/>
      <c r="Q33" s="0" t="str">
        <f aca="false">IF($I33="","",$I33+IF($J33="",0,$J33))</f>
        <v/>
      </c>
      <c r="R33" s="0" t="str">
        <f aca="false">IF($K33="","",$K33+IF($L33="",0,$L33))</f>
        <v/>
      </c>
      <c r="S33" s="4" t="n">
        <f aca="false">IF($V33=1,0,IF($R33&lt;&gt;"",1,IF($N33="",0,$N33)))</f>
        <v>0</v>
      </c>
      <c r="T33" s="4" t="n">
        <f aca="false">IF(OR($B33="",$E33=0),0,MEDIAN(0,($M$5-$C33)/($E33/24),1))</f>
        <v>1</v>
      </c>
      <c r="U33" s="4" t="n">
        <f aca="false">($S33-$T33)*$E33</f>
        <v>-2</v>
      </c>
      <c r="V33" s="4" t="n">
        <f aca="false">IF(OR(AND($Q33&lt;&gt;"",$Q33&lt;$C$8),AND($Q33&lt;&gt;"",$R33&lt;&gt;"",$R33&lt;$Q33),AND($R33&lt;&gt;"",$Q33="")),1,0)</f>
        <v>0</v>
      </c>
      <c r="W33" s="98" t="n">
        <f aca="false">IF($B33="","",IF($S33=1,IF($R33&lt;&gt;"",$R33,$D33),IF($Q33&lt;&gt;"",MAX($M$5,$Q33)+$E33*(1-$S33)/24,MAX($M$5,$C33)+$E33/24)))</f>
        <v>46311.8333333333</v>
      </c>
      <c r="X33" s="4" t="n">
        <f aca="false">IF($B33="","",ROUND(($W33-$D33)*24,1))</f>
        <v>9</v>
      </c>
      <c r="Y33" s="4" t="n">
        <f aca="false">IF($B33="","",IF($Q33&lt;&gt;"",$X33,IF($X33&gt;0,MAX($X33,IF($Y32="",0,IF($Y32&gt;0,$Y32-MAX(0,($C33-$D32)*24),$Y32))),IF($Y32="",0,IF($Y32&gt;0,$Y32-MAX(0,($C33-$D32)*24),$Y32)))))</f>
        <v>18</v>
      </c>
      <c r="AB33" s="4" t="n">
        <f aca="false">IF(AND($B33&lt;&gt;"",$F33&gt;=7),1,0)</f>
        <v>0</v>
      </c>
    </row>
    <row r="34" customFormat="false" ht="19.5" hidden="false" customHeight="true" outlineLevel="0" collapsed="false">
      <c r="A34" s="85" t="n">
        <f aca="false">IF(OR($B34="",8&gt;$O$10),"",8)</f>
        <v>8</v>
      </c>
      <c r="B34" s="86" t="s">
        <v>106</v>
      </c>
      <c r="C34" s="87" t="n">
        <f aca="true">IF(OR($B34="",8&gt;$O$10),"",IF($F34=0,$C$8,IF($G34="SS",OFFSET($C$26,$F34,0)+$H34/24,IF($G34="FF",OFFSET($D$26,$F34,0)+$H34/24-$E34/24,IF($G34="SF",OFFSET($C$26,$F34,0)+$H34/24-$E34/24,OFFSET($D$26,$F34,0)+$H34/24)))))</f>
        <v>46311.4583333333</v>
      </c>
      <c r="D34" s="87" t="n">
        <f aca="false">IF(OR($B34="",8&gt;$O$10),"",$C34+$E34/24)</f>
        <v>46311.6666666667</v>
      </c>
      <c r="E34" s="88" t="n">
        <v>5</v>
      </c>
      <c r="F34" s="89" t="n">
        <v>7</v>
      </c>
      <c r="G34" s="90" t="s">
        <v>49</v>
      </c>
      <c r="H34" s="91" t="n">
        <v>0</v>
      </c>
      <c r="I34" s="92"/>
      <c r="J34" s="93"/>
      <c r="K34" s="92"/>
      <c r="L34" s="93"/>
      <c r="M34" s="94" t="str">
        <f aca="false">IF(OR($Q34="",$R34="",$V34=1),"",($R34-$Q34)*24)</f>
        <v/>
      </c>
      <c r="N34" s="95"/>
      <c r="O34" s="96" t="str">
        <f aca="false">IF(OR($B34="",8&gt;$O$10),"",IF($AB34=1,"! CHECK LINK",IF($V34=1,"! CHECK DATES",IF($S34=1,IF($R34="","Completed",IF($R34&lt;$D34,"Completed - Ahead",IF($R34&lt;=$D34+1/1440,"Completed - On Time","Completed - Delayed"))),IF($Q34&lt;&gt;"",IF($Y34&lt;=0.1,"In Progress - On Track","In Progress - BEHIND"),IF($M$5&lt;$C34,"Not Started","NOT STARTED - LATE"))))))</f>
        <v>NOT STARTED - LATE</v>
      </c>
      <c r="P34" s="97"/>
      <c r="Q34" s="0" t="str">
        <f aca="false">IF($I34="","",$I34+IF($J34="",0,$J34))</f>
        <v/>
      </c>
      <c r="R34" s="0" t="str">
        <f aca="false">IF($K34="","",$K34+IF($L34="",0,$L34))</f>
        <v/>
      </c>
      <c r="S34" s="4" t="n">
        <f aca="false">IF($V34=1,0,IF($R34&lt;&gt;"",1,IF($N34="",0,$N34)))</f>
        <v>0</v>
      </c>
      <c r="T34" s="4" t="n">
        <f aca="false">IF(OR($B34="",$E34=0),0,MEDIAN(0,($M$5-$C34)/($E34/24),1))</f>
        <v>1</v>
      </c>
      <c r="U34" s="4" t="n">
        <f aca="false">($S34-$T34)*$E34</f>
        <v>-5</v>
      </c>
      <c r="V34" s="4" t="n">
        <f aca="false">IF(OR(AND($Q34&lt;&gt;"",$Q34&lt;$C$8),AND($Q34&lt;&gt;"",$R34&lt;&gt;"",$R34&lt;$Q34),AND($R34&lt;&gt;"",$Q34="")),1,0)</f>
        <v>0</v>
      </c>
      <c r="W34" s="98" t="n">
        <f aca="false">IF($B34="","",IF($S34=1,IF($R34&lt;&gt;"",$R34,$D34),IF($Q34&lt;&gt;"",MAX($M$5,$Q34)+$E34*(1-$S34)/24,MAX($M$5,$C34)+$E34/24)))</f>
        <v>46311.9583333333</v>
      </c>
      <c r="X34" s="4" t="n">
        <f aca="false">IF($B34="","",ROUND(($W34-$D34)*24,1))</f>
        <v>7</v>
      </c>
      <c r="Y34" s="4" t="n">
        <f aca="false">IF($B34="","",IF($Q34&lt;&gt;"",$X34,IF($X34&gt;0,MAX($X34,IF($Y33="",0,IF($Y33&gt;0,$Y33-MAX(0,($C34-$D33)*24),$Y33))),IF($Y33="",0,IF($Y33&gt;0,$Y33-MAX(0,($C34-$D33)*24),$Y33)))))</f>
        <v>18</v>
      </c>
      <c r="AB34" s="4" t="n">
        <f aca="false">IF(AND($B34&lt;&gt;"",$F34&gt;=8),1,0)</f>
        <v>0</v>
      </c>
    </row>
    <row r="35" customFormat="false" ht="19.5" hidden="false" customHeight="true" outlineLevel="0" collapsed="false">
      <c r="A35" s="85" t="n">
        <f aca="false">IF(OR($B35="",9&gt;$O$10),"",9)</f>
        <v>9</v>
      </c>
      <c r="B35" s="86" t="s">
        <v>107</v>
      </c>
      <c r="C35" s="87" t="n">
        <f aca="true">IF(OR($B35="",9&gt;$O$10),"",IF($F35=0,$C$8,IF($G35="SS",OFFSET($C$26,$F35,0)+$H35/24,IF($G35="FF",OFFSET($D$26,$F35,0)+$H35/24-$E35/24,IF($G35="SF",OFFSET($C$26,$F35,0)+$H35/24-$E35/24,OFFSET($D$26,$F35,0)+$H35/24)))))</f>
        <v>46311.6666666667</v>
      </c>
      <c r="D35" s="87" t="n">
        <f aca="false">IF(OR($B35="",9&gt;$O$10),"",$C35+$E35/24)</f>
        <v>46311.75</v>
      </c>
      <c r="E35" s="88" t="n">
        <v>2</v>
      </c>
      <c r="F35" s="89" t="n">
        <v>8</v>
      </c>
      <c r="G35" s="90" t="s">
        <v>49</v>
      </c>
      <c r="H35" s="91" t="n">
        <v>0</v>
      </c>
      <c r="I35" s="92"/>
      <c r="J35" s="93"/>
      <c r="K35" s="92"/>
      <c r="L35" s="93"/>
      <c r="M35" s="94" t="str">
        <f aca="false">IF(OR($Q35="",$R35="",$V35=1),"",($R35-$Q35)*24)</f>
        <v/>
      </c>
      <c r="N35" s="95"/>
      <c r="O35" s="96" t="str">
        <f aca="false">IF(OR($B35="",9&gt;$O$10),"",IF($AB35=1,"! CHECK LINK",IF($V35=1,"! CHECK DATES",IF($S35=1,IF($R35="","Completed",IF($R35&lt;$D35,"Completed - Ahead",IF($R35&lt;=$D35+1/1440,"Completed - On Time","Completed - Delayed"))),IF($Q35&lt;&gt;"",IF($Y35&lt;=0.1,"In Progress - On Track","In Progress - BEHIND"),IF($M$5&lt;$C35,"Not Started","NOT STARTED - LATE"))))))</f>
        <v>NOT STARTED - LATE</v>
      </c>
      <c r="P35" s="97"/>
      <c r="Q35" s="0" t="str">
        <f aca="false">IF($I35="","",$I35+IF($J35="",0,$J35))</f>
        <v/>
      </c>
      <c r="R35" s="0" t="str">
        <f aca="false">IF($K35="","",$K35+IF($L35="",0,$L35))</f>
        <v/>
      </c>
      <c r="S35" s="4" t="n">
        <f aca="false">IF($V35=1,0,IF($R35&lt;&gt;"",1,IF($N35="",0,$N35)))</f>
        <v>0</v>
      </c>
      <c r="T35" s="4" t="n">
        <f aca="false">IF(OR($B35="",$E35=0),0,MEDIAN(0,($M$5-$C35)/($E35/24),1))</f>
        <v>1</v>
      </c>
      <c r="U35" s="4" t="n">
        <f aca="false">($S35-$T35)*$E35</f>
        <v>-2</v>
      </c>
      <c r="V35" s="4" t="n">
        <f aca="false">IF(OR(AND($Q35&lt;&gt;"",$Q35&lt;$C$8),AND($Q35&lt;&gt;"",$R35&lt;&gt;"",$R35&lt;$Q35),AND($R35&lt;&gt;"",$Q35="")),1,0)</f>
        <v>0</v>
      </c>
      <c r="W35" s="98" t="n">
        <f aca="false">IF($B35="","",IF($S35=1,IF($R35&lt;&gt;"",$R35,$D35),IF($Q35&lt;&gt;"",MAX($M$5,$Q35)+$E35*(1-$S35)/24,MAX($M$5,$C35)+$E35/24)))</f>
        <v>46311.8333333333</v>
      </c>
      <c r="X35" s="4" t="n">
        <f aca="false">IF($B35="","",ROUND(($W35-$D35)*24,1))</f>
        <v>2</v>
      </c>
      <c r="Y35" s="4" t="n">
        <f aca="false">IF($B35="","",IF($Q35&lt;&gt;"",$X35,IF($X35&gt;0,MAX($X35,IF($Y34="",0,IF($Y34&gt;0,$Y34-MAX(0,($C35-$D34)*24),$Y34))),IF($Y34="",0,IF($Y34&gt;0,$Y34-MAX(0,($C35-$D34)*24),$Y34)))))</f>
        <v>18</v>
      </c>
      <c r="AB35" s="4" t="n">
        <f aca="false">IF(AND($B35&lt;&gt;"",$F35&gt;=9),1,0)</f>
        <v>0</v>
      </c>
    </row>
    <row r="36" customFormat="false" ht="19.5" hidden="false" customHeight="true" outlineLevel="0" collapsed="false">
      <c r="A36" s="85" t="n">
        <f aca="false">IF(OR($B36="",10&gt;$O$10),"",10)</f>
        <v>10</v>
      </c>
      <c r="B36" s="86" t="s">
        <v>108</v>
      </c>
      <c r="C36" s="87" t="n">
        <f aca="true">IF(OR($B36="",10&gt;$O$10),"",IF($F36=0,$C$8,IF($G36="SS",OFFSET($C$26,$F36,0)+$H36/24,IF($G36="FF",OFFSET($D$26,$F36,0)+$H36/24-$E36/24,IF($G36="SF",OFFSET($C$26,$F36,0)+$H36/24-$E36/24,OFFSET($D$26,$F36,0)+$H36/24)))))</f>
        <v>46311.75</v>
      </c>
      <c r="D36" s="87" t="n">
        <f aca="false">IF(OR($B36="",10&gt;$O$10),"",$C36+$E36/24)</f>
        <v>46311.9583333333</v>
      </c>
      <c r="E36" s="88" t="n">
        <v>5</v>
      </c>
      <c r="F36" s="89" t="n">
        <v>9</v>
      </c>
      <c r="G36" s="90" t="s">
        <v>49</v>
      </c>
      <c r="H36" s="91" t="n">
        <v>0</v>
      </c>
      <c r="I36" s="92"/>
      <c r="J36" s="93"/>
      <c r="K36" s="92"/>
      <c r="L36" s="93"/>
      <c r="M36" s="94" t="str">
        <f aca="false">IF(OR($Q36="",$R36="",$V36=1),"",($R36-$Q36)*24)</f>
        <v/>
      </c>
      <c r="N36" s="95"/>
      <c r="O36" s="96" t="str">
        <f aca="false">IF(OR($B36="",10&gt;$O$10),"",IF($AB36=1,"! CHECK LINK",IF($V36=1,"! CHECK DATES",IF($S36=1,IF($R36="","Completed",IF($R36&lt;$D36,"Completed - Ahead",IF($R36&lt;=$D36+1/1440,"Completed - On Time","Completed - Delayed"))),IF($Q36&lt;&gt;"",IF($Y36&lt;=0.1,"In Progress - On Track","In Progress - BEHIND"),IF($M$5&lt;$C36,"Not Started","NOT STARTED - LATE"))))))</f>
        <v>NOT STARTED - LATE</v>
      </c>
      <c r="P36" s="97"/>
      <c r="Q36" s="0" t="str">
        <f aca="false">IF($I36="","",$I36+IF($J36="",0,$J36))</f>
        <v/>
      </c>
      <c r="R36" s="0" t="str">
        <f aca="false">IF($K36="","",$K36+IF($L36="",0,$L36))</f>
        <v/>
      </c>
      <c r="S36" s="4" t="n">
        <f aca="false">IF($V36=1,0,IF($R36&lt;&gt;"",1,IF($N36="",0,$N36)))</f>
        <v>0</v>
      </c>
      <c r="T36" s="4" t="n">
        <f aca="false">IF(OR($B36="",$E36=0),0,MEDIAN(0,($M$5-$C36)/($E36/24),1))</f>
        <v>0</v>
      </c>
      <c r="U36" s="4" t="n">
        <f aca="false">($S36-$T36)*$E36</f>
        <v>0</v>
      </c>
      <c r="V36" s="4" t="n">
        <f aca="false">IF(OR(AND($Q36&lt;&gt;"",$Q36&lt;$C$8),AND($Q36&lt;&gt;"",$R36&lt;&gt;"",$R36&lt;$Q36),AND($R36&lt;&gt;"",$Q36="")),1,0)</f>
        <v>0</v>
      </c>
      <c r="W36" s="98" t="n">
        <f aca="false">IF($B36="","",IF($S36=1,IF($R36&lt;&gt;"",$R36,$D36),IF($Q36&lt;&gt;"",MAX($M$5,$Q36)+$E36*(1-$S36)/24,MAX($M$5,$C36)+$E36/24)))</f>
        <v>46311.9583333333</v>
      </c>
      <c r="X36" s="4" t="n">
        <f aca="false">IF($B36="","",ROUND(($W36-$D36)*24,1))</f>
        <v>0</v>
      </c>
      <c r="Y36" s="4" t="n">
        <f aca="false">IF($B36="","",IF($Q36&lt;&gt;"",$X36,IF($X36&gt;0,MAX($X36,IF($Y35="",0,IF($Y35&gt;0,$Y35-MAX(0,($C36-$D35)*24),$Y35))),IF($Y35="",0,IF($Y35&gt;0,$Y35-MAX(0,($C36-$D35)*24),$Y35)))))</f>
        <v>18</v>
      </c>
      <c r="AB36" s="4" t="n">
        <f aca="false">IF(AND($B36&lt;&gt;"",$F36&gt;=10),1,0)</f>
        <v>0</v>
      </c>
    </row>
    <row r="37" customFormat="false" ht="19.5" hidden="false" customHeight="true" outlineLevel="0" collapsed="false">
      <c r="A37" s="85" t="n">
        <f aca="false">IF(OR($B37="",11&gt;$O$10),"",11)</f>
        <v>11</v>
      </c>
      <c r="B37" s="86" t="s">
        <v>109</v>
      </c>
      <c r="C37" s="87" t="n">
        <f aca="true">IF(OR($B37="",11&gt;$O$10),"",IF($F37=0,$C$8,IF($G37="SS",OFFSET($C$26,$F37,0)+$H37/24,IF($G37="FF",OFFSET($D$26,$F37,0)+$H37/24-$E37/24,IF($G37="SF",OFFSET($C$26,$F37,0)+$H37/24-$E37/24,OFFSET($D$26,$F37,0)+$H37/24)))))</f>
        <v>46311.9583333333</v>
      </c>
      <c r="D37" s="87" t="n">
        <f aca="false">IF(OR($B37="",11&gt;$O$10),"",$C37+$E37/24)</f>
        <v>46312.0416666667</v>
      </c>
      <c r="E37" s="88" t="n">
        <v>2</v>
      </c>
      <c r="F37" s="89" t="n">
        <v>10</v>
      </c>
      <c r="G37" s="90" t="s">
        <v>49</v>
      </c>
      <c r="H37" s="91" t="n">
        <v>0</v>
      </c>
      <c r="I37" s="92"/>
      <c r="J37" s="93"/>
      <c r="K37" s="92"/>
      <c r="L37" s="93"/>
      <c r="M37" s="94" t="str">
        <f aca="false">IF(OR($Q37="",$R37="",$V37=1),"",($R37-$Q37)*24)</f>
        <v/>
      </c>
      <c r="N37" s="95"/>
      <c r="O37" s="96" t="str">
        <f aca="false">IF(OR($B37="",11&gt;$O$10),"",IF($AB37=1,"! CHECK LINK",IF($V37=1,"! CHECK DATES",IF($S37=1,IF($R37="","Completed",IF($R37&lt;$D37,"Completed - Ahead",IF($R37&lt;=$D37+1/1440,"Completed - On Time","Completed - Delayed"))),IF($Q37&lt;&gt;"",IF($Y37&lt;=0.1,"In Progress - On Track","In Progress - BEHIND"),IF($M$5&lt;$C37,"Not Started","NOT STARTED - LATE"))))))</f>
        <v>Not Started</v>
      </c>
      <c r="P37" s="97"/>
      <c r="Q37" s="0" t="str">
        <f aca="false">IF($I37="","",$I37+IF($J37="",0,$J37))</f>
        <v/>
      </c>
      <c r="R37" s="0" t="str">
        <f aca="false">IF($K37="","",$K37+IF($L37="",0,$L37))</f>
        <v/>
      </c>
      <c r="S37" s="4" t="n">
        <f aca="false">IF($V37=1,0,IF($R37&lt;&gt;"",1,IF($N37="",0,$N37)))</f>
        <v>0</v>
      </c>
      <c r="T37" s="4" t="n">
        <f aca="false">IF(OR($B37="",$E37=0),0,MEDIAN(0,($M$5-$C37)/($E37/24),1))</f>
        <v>0</v>
      </c>
      <c r="U37" s="4" t="n">
        <f aca="false">($S37-$T37)*$E37</f>
        <v>0</v>
      </c>
      <c r="V37" s="4" t="n">
        <f aca="false">IF(OR(AND($Q37&lt;&gt;"",$Q37&lt;$C$8),AND($Q37&lt;&gt;"",$R37&lt;&gt;"",$R37&lt;$Q37),AND($R37&lt;&gt;"",$Q37="")),1,0)</f>
        <v>0</v>
      </c>
      <c r="W37" s="98" t="n">
        <f aca="false">IF($B37="","",IF($S37=1,IF($R37&lt;&gt;"",$R37,$D37),IF($Q37&lt;&gt;"",MAX($M$5,$Q37)+$E37*(1-$S37)/24,MAX($M$5,$C37)+$E37/24)))</f>
        <v>46312.0416666667</v>
      </c>
      <c r="X37" s="4" t="n">
        <f aca="false">IF($B37="","",ROUND(($W37-$D37)*24,1))</f>
        <v>0</v>
      </c>
      <c r="Y37" s="4" t="n">
        <f aca="false">IF($B37="","",IF($Q37&lt;&gt;"",$X37,IF($X37&gt;0,MAX($X37,IF($Y36="",0,IF($Y36&gt;0,$Y36-MAX(0,($C37-$D36)*24),$Y36))),IF($Y36="",0,IF($Y36&gt;0,$Y36-MAX(0,($C37-$D36)*24),$Y36)))))</f>
        <v>18</v>
      </c>
      <c r="AB37" s="4" t="n">
        <f aca="false">IF(AND($B37&lt;&gt;"",$F37&gt;=11),1,0)</f>
        <v>0</v>
      </c>
    </row>
    <row r="38" customFormat="false" ht="19.5" hidden="false" customHeight="true" outlineLevel="0" collapsed="false">
      <c r="A38" s="85" t="n">
        <f aca="false">IF(OR($B38="",12&gt;$O$10),"",12)</f>
        <v>12</v>
      </c>
      <c r="B38" s="86" t="s">
        <v>110</v>
      </c>
      <c r="C38" s="87" t="n">
        <f aca="true">IF(OR($B38="",12&gt;$O$10),"",IF($F38=0,$C$8,IF($G38="SS",OFFSET($C$26,$F38,0)+$H38/24,IF($G38="FF",OFFSET($D$26,$F38,0)+$H38/24-$E38/24,IF($G38="SF",OFFSET($C$26,$F38,0)+$H38/24-$E38/24,OFFSET($D$26,$F38,0)+$H38/24)))))</f>
        <v>46312.0416666667</v>
      </c>
      <c r="D38" s="87" t="n">
        <f aca="false">IF(OR($B38="",12&gt;$O$10),"",$C38+$E38/24)</f>
        <v>46312.0833333333</v>
      </c>
      <c r="E38" s="88" t="n">
        <v>1</v>
      </c>
      <c r="F38" s="89" t="n">
        <v>11</v>
      </c>
      <c r="G38" s="90" t="s">
        <v>49</v>
      </c>
      <c r="H38" s="91" t="n">
        <v>0</v>
      </c>
      <c r="I38" s="92"/>
      <c r="J38" s="93"/>
      <c r="K38" s="92"/>
      <c r="L38" s="93"/>
      <c r="M38" s="94" t="str">
        <f aca="false">IF(OR($Q38="",$R38="",$V38=1),"",($R38-$Q38)*24)</f>
        <v/>
      </c>
      <c r="N38" s="95"/>
      <c r="O38" s="96" t="str">
        <f aca="false">IF(OR($B38="",12&gt;$O$10),"",IF($AB38=1,"! CHECK LINK",IF($V38=1,"! CHECK DATES",IF($S38=1,IF($R38="","Completed",IF($R38&lt;$D38,"Completed - Ahead",IF($R38&lt;=$D38+1/1440,"Completed - On Time","Completed - Delayed"))),IF($Q38&lt;&gt;"",IF($Y38&lt;=0.1,"In Progress - On Track","In Progress - BEHIND"),IF($M$5&lt;$C38,"Not Started","NOT STARTED - LATE"))))))</f>
        <v>Not Started</v>
      </c>
      <c r="P38" s="97"/>
      <c r="Q38" s="0" t="str">
        <f aca="false">IF($I38="","",$I38+IF($J38="",0,$J38))</f>
        <v/>
      </c>
      <c r="R38" s="0" t="str">
        <f aca="false">IF($K38="","",$K38+IF($L38="",0,$L38))</f>
        <v/>
      </c>
      <c r="S38" s="4" t="n">
        <f aca="false">IF($V38=1,0,IF($R38&lt;&gt;"",1,IF($N38="",0,$N38)))</f>
        <v>0</v>
      </c>
      <c r="T38" s="4" t="n">
        <f aca="false">IF(OR($B38="",$E38=0),0,MEDIAN(0,($M$5-$C38)/($E38/24),1))</f>
        <v>0</v>
      </c>
      <c r="U38" s="4" t="n">
        <f aca="false">($S38-$T38)*$E38</f>
        <v>0</v>
      </c>
      <c r="V38" s="4" t="n">
        <f aca="false">IF(OR(AND($Q38&lt;&gt;"",$Q38&lt;$C$8),AND($Q38&lt;&gt;"",$R38&lt;&gt;"",$R38&lt;$Q38),AND($R38&lt;&gt;"",$Q38="")),1,0)</f>
        <v>0</v>
      </c>
      <c r="W38" s="98" t="n">
        <f aca="false">IF($B38="","",IF($S38=1,IF($R38&lt;&gt;"",$R38,$D38),IF($Q38&lt;&gt;"",MAX($M$5,$Q38)+$E38*(1-$S38)/24,MAX($M$5,$C38)+$E38/24)))</f>
        <v>46312.0833333333</v>
      </c>
      <c r="X38" s="4" t="n">
        <f aca="false">IF($B38="","",ROUND(($W38-$D38)*24,1))</f>
        <v>0</v>
      </c>
      <c r="Y38" s="4" t="n">
        <f aca="false">IF($B38="","",IF($Q38&lt;&gt;"",$X38,IF($X38&gt;0,MAX($X38,IF($Y37="",0,IF($Y37&gt;0,$Y37-MAX(0,($C38-$D37)*24),$Y37))),IF($Y37="",0,IF($Y37&gt;0,$Y37-MAX(0,($C38-$D37)*24),$Y37)))))</f>
        <v>18</v>
      </c>
      <c r="AB38" s="4" t="n">
        <f aca="false">IF(AND($B38&lt;&gt;"",$F38&gt;=12),1,0)</f>
        <v>0</v>
      </c>
    </row>
    <row r="39" customFormat="false" ht="19.5" hidden="false" customHeight="true" outlineLevel="0" collapsed="false">
      <c r="A39" s="85" t="n">
        <f aca="false">IF(OR($B39="",13&gt;$O$10),"",13)</f>
        <v>13</v>
      </c>
      <c r="B39" s="86" t="s">
        <v>111</v>
      </c>
      <c r="C39" s="87" t="n">
        <f aca="true">IF(OR($B39="",13&gt;$O$10),"",IF($F39=0,$C$8,IF($G39="SS",OFFSET($C$26,$F39,0)+$H39/24,IF($G39="FF",OFFSET($D$26,$F39,0)+$H39/24-$E39/24,IF($G39="SF",OFFSET($C$26,$F39,0)+$H39/24-$E39/24,OFFSET($D$26,$F39,0)+$H39/24)))))</f>
        <v>46312.0833333333</v>
      </c>
      <c r="D39" s="87" t="n">
        <f aca="false">IF(OR($B39="",13&gt;$O$10),"",$C39+$E39/24)</f>
        <v>46312.125</v>
      </c>
      <c r="E39" s="88" t="n">
        <v>1</v>
      </c>
      <c r="F39" s="89" t="n">
        <v>12</v>
      </c>
      <c r="G39" s="90" t="s">
        <v>49</v>
      </c>
      <c r="H39" s="91" t="n">
        <v>0</v>
      </c>
      <c r="I39" s="92"/>
      <c r="J39" s="93"/>
      <c r="K39" s="92"/>
      <c r="L39" s="93"/>
      <c r="M39" s="94" t="str">
        <f aca="false">IF(OR($Q39="",$R39="",$V39=1),"",($R39-$Q39)*24)</f>
        <v/>
      </c>
      <c r="N39" s="95"/>
      <c r="O39" s="96" t="str">
        <f aca="false">IF(OR($B39="",13&gt;$O$10),"",IF($AB39=1,"! CHECK LINK",IF($V39=1,"! CHECK DATES",IF($S39=1,IF($R39="","Completed",IF($R39&lt;$D39,"Completed - Ahead",IF($R39&lt;=$D39+1/1440,"Completed - On Time","Completed - Delayed"))),IF($Q39&lt;&gt;"",IF($Y39&lt;=0.1,"In Progress - On Track","In Progress - BEHIND"),IF($M$5&lt;$C39,"Not Started","NOT STARTED - LATE"))))))</f>
        <v>Not Started</v>
      </c>
      <c r="P39" s="97"/>
      <c r="Q39" s="0" t="str">
        <f aca="false">IF($I39="","",$I39+IF($J39="",0,$J39))</f>
        <v/>
      </c>
      <c r="R39" s="0" t="str">
        <f aca="false">IF($K39="","",$K39+IF($L39="",0,$L39))</f>
        <v/>
      </c>
      <c r="S39" s="4" t="n">
        <f aca="false">IF($V39=1,0,IF($R39&lt;&gt;"",1,IF($N39="",0,$N39)))</f>
        <v>0</v>
      </c>
      <c r="T39" s="4" t="n">
        <f aca="false">IF(OR($B39="",$E39=0),0,MEDIAN(0,($M$5-$C39)/($E39/24),1))</f>
        <v>0</v>
      </c>
      <c r="U39" s="4" t="n">
        <f aca="false">($S39-$T39)*$E39</f>
        <v>0</v>
      </c>
      <c r="V39" s="4" t="n">
        <f aca="false">IF(OR(AND($Q39&lt;&gt;"",$Q39&lt;$C$8),AND($Q39&lt;&gt;"",$R39&lt;&gt;"",$R39&lt;$Q39),AND($R39&lt;&gt;"",$Q39="")),1,0)</f>
        <v>0</v>
      </c>
      <c r="W39" s="98" t="n">
        <f aca="false">IF($B39="","",IF($S39=1,IF($R39&lt;&gt;"",$R39,$D39),IF($Q39&lt;&gt;"",MAX($M$5,$Q39)+$E39*(1-$S39)/24,MAX($M$5,$C39)+$E39/24)))</f>
        <v>46312.125</v>
      </c>
      <c r="X39" s="4" t="n">
        <f aca="false">IF($B39="","",ROUND(($W39-$D39)*24,1))</f>
        <v>0</v>
      </c>
      <c r="Y39" s="4" t="n">
        <f aca="false">IF($B39="","",IF($Q39&lt;&gt;"",$X39,IF($X39&gt;0,MAX($X39,IF($Y38="",0,IF($Y38&gt;0,$Y38-MAX(0,($C39-$D38)*24),$Y38))),IF($Y38="",0,IF($Y38&gt;0,$Y38-MAX(0,($C39-$D38)*24),$Y38)))))</f>
        <v>18</v>
      </c>
      <c r="AB39" s="4" t="n">
        <f aca="false">IF(AND($B39&lt;&gt;"",$F39&gt;=13),1,0)</f>
        <v>0</v>
      </c>
    </row>
    <row r="40" customFormat="false" ht="19.5" hidden="false" customHeight="true" outlineLevel="0" collapsed="false">
      <c r="A40" s="85" t="n">
        <f aca="false">IF(OR($B40="",14&gt;$O$10),"",14)</f>
        <v>14</v>
      </c>
      <c r="B40" s="86" t="s">
        <v>112</v>
      </c>
      <c r="C40" s="87" t="n">
        <f aca="true">IF(OR($B40="",14&gt;$O$10),"",IF($F40=0,$C$8,IF($G40="SS",OFFSET($C$26,$F40,0)+$H40/24,IF($G40="FF",OFFSET($D$26,$F40,0)+$H40/24-$E40/24,IF($G40="SF",OFFSET($C$26,$F40,0)+$H40/24-$E40/24,OFFSET($D$26,$F40,0)+$H40/24)))))</f>
        <v>46312.125</v>
      </c>
      <c r="D40" s="87" t="n">
        <f aca="false">IF(OR($B40="",14&gt;$O$10),"",$C40+$E40/24)</f>
        <v>46312.1666666667</v>
      </c>
      <c r="E40" s="88" t="n">
        <v>1</v>
      </c>
      <c r="F40" s="89" t="n">
        <v>13</v>
      </c>
      <c r="G40" s="90" t="s">
        <v>49</v>
      </c>
      <c r="H40" s="91" t="n">
        <v>0</v>
      </c>
      <c r="I40" s="92"/>
      <c r="J40" s="93"/>
      <c r="K40" s="92"/>
      <c r="L40" s="93"/>
      <c r="M40" s="94" t="str">
        <f aca="false">IF(OR($Q40="",$R40="",$V40=1),"",($R40-$Q40)*24)</f>
        <v/>
      </c>
      <c r="N40" s="95"/>
      <c r="O40" s="96" t="str">
        <f aca="false">IF(OR($B40="",14&gt;$O$10),"",IF($AB40=1,"! CHECK LINK",IF($V40=1,"! CHECK DATES",IF($S40=1,IF($R40="","Completed",IF($R40&lt;$D40,"Completed - Ahead",IF($R40&lt;=$D40+1/1440,"Completed - On Time","Completed - Delayed"))),IF($Q40&lt;&gt;"",IF($Y40&lt;=0.1,"In Progress - On Track","In Progress - BEHIND"),IF($M$5&lt;$C40,"Not Started","NOT STARTED - LATE"))))))</f>
        <v>Not Started</v>
      </c>
      <c r="P40" s="97"/>
      <c r="Q40" s="0" t="str">
        <f aca="false">IF($I40="","",$I40+IF($J40="",0,$J40))</f>
        <v/>
      </c>
      <c r="R40" s="0" t="str">
        <f aca="false">IF($K40="","",$K40+IF($L40="",0,$L40))</f>
        <v/>
      </c>
      <c r="S40" s="4" t="n">
        <f aca="false">IF($V40=1,0,IF($R40&lt;&gt;"",1,IF($N40="",0,$N40)))</f>
        <v>0</v>
      </c>
      <c r="T40" s="4" t="n">
        <f aca="false">IF(OR($B40="",$E40=0),0,MEDIAN(0,($M$5-$C40)/($E40/24),1))</f>
        <v>0</v>
      </c>
      <c r="U40" s="4" t="n">
        <f aca="false">($S40-$T40)*$E40</f>
        <v>0</v>
      </c>
      <c r="V40" s="4" t="n">
        <f aca="false">IF(OR(AND($Q40&lt;&gt;"",$Q40&lt;$C$8),AND($Q40&lt;&gt;"",$R40&lt;&gt;"",$R40&lt;$Q40),AND($R40&lt;&gt;"",$Q40="")),1,0)</f>
        <v>0</v>
      </c>
      <c r="W40" s="98" t="n">
        <f aca="false">IF($B40="","",IF($S40=1,IF($R40&lt;&gt;"",$R40,$D40),IF($Q40&lt;&gt;"",MAX($M$5,$Q40)+$E40*(1-$S40)/24,MAX($M$5,$C40)+$E40/24)))</f>
        <v>46312.1666666667</v>
      </c>
      <c r="X40" s="4" t="n">
        <f aca="false">IF($B40="","",ROUND(($W40-$D40)*24,1))</f>
        <v>0</v>
      </c>
      <c r="Y40" s="4" t="n">
        <f aca="false">IF($B40="","",IF($Q40&lt;&gt;"",$X40,IF($X40&gt;0,MAX($X40,IF($Y39="",0,IF($Y39&gt;0,$Y39-MAX(0,($C40-$D39)*24),$Y39))),IF($Y39="",0,IF($Y39&gt;0,$Y39-MAX(0,($C40-$D39)*24),$Y39)))))</f>
        <v>18</v>
      </c>
      <c r="AB40" s="4" t="n">
        <f aca="false">IF(AND($B40&lt;&gt;"",$F40&gt;=14),1,0)</f>
        <v>0</v>
      </c>
    </row>
    <row r="41" customFormat="false" ht="19.5" hidden="false" customHeight="true" outlineLevel="0" collapsed="false">
      <c r="A41" s="85" t="n">
        <f aca="false">IF(OR($B41="",15&gt;$O$10),"",15)</f>
        <v>15</v>
      </c>
      <c r="B41" s="86" t="s">
        <v>113</v>
      </c>
      <c r="C41" s="87" t="n">
        <f aca="true">IF(OR($B41="",15&gt;$O$10),"",IF($F41=0,$C$8,IF($G41="SS",OFFSET($C$26,$F41,0)+$H41/24,IF($G41="FF",OFFSET($D$26,$F41,0)+$H41/24-$E41/24,IF($G41="SF",OFFSET($C$26,$F41,0)+$H41/24-$E41/24,OFFSET($D$26,$F41,0)+$H41/24)))))</f>
        <v>46312.1666666667</v>
      </c>
      <c r="D41" s="87" t="n">
        <f aca="false">IF(OR($B41="",15&gt;$O$10),"",$C41+$E41/24)</f>
        <v>46312.2083333333</v>
      </c>
      <c r="E41" s="88" t="n">
        <v>1</v>
      </c>
      <c r="F41" s="89" t="n">
        <v>14</v>
      </c>
      <c r="G41" s="90" t="s">
        <v>49</v>
      </c>
      <c r="H41" s="91" t="n">
        <v>0</v>
      </c>
      <c r="I41" s="92"/>
      <c r="J41" s="93"/>
      <c r="K41" s="92"/>
      <c r="L41" s="93"/>
      <c r="M41" s="94" t="str">
        <f aca="false">IF(OR($Q41="",$R41="",$V41=1),"",($R41-$Q41)*24)</f>
        <v/>
      </c>
      <c r="N41" s="95"/>
      <c r="O41" s="96" t="str">
        <f aca="false">IF(OR($B41="",15&gt;$O$10),"",IF($AB41=1,"! CHECK LINK",IF($V41=1,"! CHECK DATES",IF($S41=1,IF($R41="","Completed",IF($R41&lt;$D41,"Completed - Ahead",IF($R41&lt;=$D41+1/1440,"Completed - On Time","Completed - Delayed"))),IF($Q41&lt;&gt;"",IF($Y41&lt;=0.1,"In Progress - On Track","In Progress - BEHIND"),IF($M$5&lt;$C41,"Not Started","NOT STARTED - LATE"))))))</f>
        <v>Not Started</v>
      </c>
      <c r="P41" s="97"/>
      <c r="Q41" s="0" t="str">
        <f aca="false">IF($I41="","",$I41+IF($J41="",0,$J41))</f>
        <v/>
      </c>
      <c r="R41" s="0" t="str">
        <f aca="false">IF($K41="","",$K41+IF($L41="",0,$L41))</f>
        <v/>
      </c>
      <c r="S41" s="4" t="n">
        <f aca="false">IF($V41=1,0,IF($R41&lt;&gt;"",1,IF($N41="",0,$N41)))</f>
        <v>0</v>
      </c>
      <c r="T41" s="4" t="n">
        <f aca="false">IF(OR($B41="",$E41=0),0,MEDIAN(0,($M$5-$C41)/($E41/24),1))</f>
        <v>0</v>
      </c>
      <c r="U41" s="4" t="n">
        <f aca="false">($S41-$T41)*$E41</f>
        <v>0</v>
      </c>
      <c r="V41" s="4" t="n">
        <f aca="false">IF(OR(AND($Q41&lt;&gt;"",$Q41&lt;$C$8),AND($Q41&lt;&gt;"",$R41&lt;&gt;"",$R41&lt;$Q41),AND($R41&lt;&gt;"",$Q41="")),1,0)</f>
        <v>0</v>
      </c>
      <c r="W41" s="98" t="n">
        <f aca="false">IF($B41="","",IF($S41=1,IF($R41&lt;&gt;"",$R41,$D41),IF($Q41&lt;&gt;"",MAX($M$5,$Q41)+$E41*(1-$S41)/24,MAX($M$5,$C41)+$E41/24)))</f>
        <v>46312.2083333333</v>
      </c>
      <c r="X41" s="4" t="n">
        <f aca="false">IF($B41="","",ROUND(($W41-$D41)*24,1))</f>
        <v>0</v>
      </c>
      <c r="Y41" s="4" t="n">
        <f aca="false">IF($B41="","",IF($Q41&lt;&gt;"",$X41,IF($X41&gt;0,MAX($X41,IF($Y40="",0,IF($Y40&gt;0,$Y40-MAX(0,($C41-$D40)*24),$Y40))),IF($Y40="",0,IF($Y40&gt;0,$Y40-MAX(0,($C41-$D40)*24),$Y40)))))</f>
        <v>18</v>
      </c>
      <c r="AB41" s="4" t="n">
        <f aca="false">IF(AND($B41&lt;&gt;"",$F41&gt;=15),1,0)</f>
        <v>0</v>
      </c>
    </row>
    <row r="42" customFormat="false" ht="19.5" hidden="false" customHeight="true" outlineLevel="0" collapsed="false">
      <c r="A42" s="85" t="n">
        <f aca="false">IF(OR($B42="",16&gt;$O$10),"",16)</f>
        <v>16</v>
      </c>
      <c r="B42" s="86" t="s">
        <v>114</v>
      </c>
      <c r="C42" s="87" t="n">
        <f aca="true">IF(OR($B42="",16&gt;$O$10),"",IF($F42=0,$C$8,IF($G42="SS",OFFSET($C$26,$F42,0)+$H42/24,IF($G42="FF",OFFSET($D$26,$F42,0)+$H42/24-$E42/24,IF($G42="SF",OFFSET($C$26,$F42,0)+$H42/24-$E42/24,OFFSET($D$26,$F42,0)+$H42/24)))))</f>
        <v>46312.2083333333</v>
      </c>
      <c r="D42" s="87" t="n">
        <f aca="false">IF(OR($B42="",16&gt;$O$10),"",$C42+$E42/24)</f>
        <v>46312.25</v>
      </c>
      <c r="E42" s="88" t="n">
        <v>1</v>
      </c>
      <c r="F42" s="89" t="n">
        <v>15</v>
      </c>
      <c r="G42" s="90" t="s">
        <v>49</v>
      </c>
      <c r="H42" s="91" t="n">
        <v>0</v>
      </c>
      <c r="I42" s="92"/>
      <c r="J42" s="93"/>
      <c r="K42" s="92"/>
      <c r="L42" s="93"/>
      <c r="M42" s="94" t="str">
        <f aca="false">IF(OR($Q42="",$R42="",$V42=1),"",($R42-$Q42)*24)</f>
        <v/>
      </c>
      <c r="N42" s="95"/>
      <c r="O42" s="96" t="str">
        <f aca="false">IF(OR($B42="",16&gt;$O$10),"",IF($AB42=1,"! CHECK LINK",IF($V42=1,"! CHECK DATES",IF($S42=1,IF($R42="","Completed",IF($R42&lt;$D42,"Completed - Ahead",IF($R42&lt;=$D42+1/1440,"Completed - On Time","Completed - Delayed"))),IF($Q42&lt;&gt;"",IF($Y42&lt;=0.1,"In Progress - On Track","In Progress - BEHIND"),IF($M$5&lt;$C42,"Not Started","NOT STARTED - LATE"))))))</f>
        <v>Not Started</v>
      </c>
      <c r="P42" s="97"/>
      <c r="Q42" s="0" t="str">
        <f aca="false">IF($I42="","",$I42+IF($J42="",0,$J42))</f>
        <v/>
      </c>
      <c r="R42" s="0" t="str">
        <f aca="false">IF($K42="","",$K42+IF($L42="",0,$L42))</f>
        <v/>
      </c>
      <c r="S42" s="4" t="n">
        <f aca="false">IF($V42=1,0,IF($R42&lt;&gt;"",1,IF($N42="",0,$N42)))</f>
        <v>0</v>
      </c>
      <c r="T42" s="4" t="n">
        <f aca="false">IF(OR($B42="",$E42=0),0,MEDIAN(0,($M$5-$C42)/($E42/24),1))</f>
        <v>0</v>
      </c>
      <c r="U42" s="4" t="n">
        <f aca="false">($S42-$T42)*$E42</f>
        <v>0</v>
      </c>
      <c r="V42" s="4" t="n">
        <f aca="false">IF(OR(AND($Q42&lt;&gt;"",$Q42&lt;$C$8),AND($Q42&lt;&gt;"",$R42&lt;&gt;"",$R42&lt;$Q42),AND($R42&lt;&gt;"",$Q42="")),1,0)</f>
        <v>0</v>
      </c>
      <c r="W42" s="98" t="n">
        <f aca="false">IF($B42="","",IF($S42=1,IF($R42&lt;&gt;"",$R42,$D42),IF($Q42&lt;&gt;"",MAX($M$5,$Q42)+$E42*(1-$S42)/24,MAX($M$5,$C42)+$E42/24)))</f>
        <v>46312.25</v>
      </c>
      <c r="X42" s="4" t="n">
        <f aca="false">IF($B42="","",ROUND(($W42-$D42)*24,1))</f>
        <v>0</v>
      </c>
      <c r="Y42" s="4" t="n">
        <f aca="false">IF($B42="","",IF($Q42&lt;&gt;"",$X42,IF($X42&gt;0,MAX($X42,IF($Y41="",0,IF($Y41&gt;0,$Y41-MAX(0,($C42-$D41)*24),$Y41))),IF($Y41="",0,IF($Y41&gt;0,$Y41-MAX(0,($C42-$D41)*24),$Y41)))))</f>
        <v>18</v>
      </c>
      <c r="AB42" s="4" t="n">
        <f aca="false">IF(AND($B42&lt;&gt;"",$F42&gt;=16),1,0)</f>
        <v>0</v>
      </c>
    </row>
    <row r="43" customFormat="false" ht="19.5" hidden="false" customHeight="true" outlineLevel="0" collapsed="false">
      <c r="A43" s="85" t="n">
        <f aca="false">IF(OR($B43="",17&gt;$O$10),"",17)</f>
        <v>17</v>
      </c>
      <c r="B43" s="86" t="s">
        <v>115</v>
      </c>
      <c r="C43" s="87" t="n">
        <f aca="true">IF(OR($B43="",17&gt;$O$10),"",IF($F43=0,$C$8,IF($G43="SS",OFFSET($C$26,$F43,0)+$H43/24,IF($G43="FF",OFFSET($D$26,$F43,0)+$H43/24-$E43/24,IF($G43="SF",OFFSET($C$26,$F43,0)+$H43/24-$E43/24,OFFSET($D$26,$F43,0)+$H43/24)))))</f>
        <v>46312.25</v>
      </c>
      <c r="D43" s="87" t="n">
        <f aca="false">IF(OR($B43="",17&gt;$O$10),"",$C43+$E43/24)</f>
        <v>46312.2916666667</v>
      </c>
      <c r="E43" s="88" t="n">
        <v>1</v>
      </c>
      <c r="F43" s="89" t="n">
        <v>16</v>
      </c>
      <c r="G43" s="90" t="s">
        <v>49</v>
      </c>
      <c r="H43" s="91" t="n">
        <v>0</v>
      </c>
      <c r="I43" s="92"/>
      <c r="J43" s="93"/>
      <c r="K43" s="92"/>
      <c r="L43" s="93"/>
      <c r="M43" s="94" t="str">
        <f aca="false">IF(OR($Q43="",$R43="",$V43=1),"",($R43-$Q43)*24)</f>
        <v/>
      </c>
      <c r="N43" s="95"/>
      <c r="O43" s="96" t="str">
        <f aca="false">IF(OR($B43="",17&gt;$O$10),"",IF($AB43=1,"! CHECK LINK",IF($V43=1,"! CHECK DATES",IF($S43=1,IF($R43="","Completed",IF($R43&lt;$D43,"Completed - Ahead",IF($R43&lt;=$D43+1/1440,"Completed - On Time","Completed - Delayed"))),IF($Q43&lt;&gt;"",IF($Y43&lt;=0.1,"In Progress - On Track","In Progress - BEHIND"),IF($M$5&lt;$C43,"Not Started","NOT STARTED - LATE"))))))</f>
        <v>Not Started</v>
      </c>
      <c r="P43" s="97"/>
      <c r="Q43" s="0" t="str">
        <f aca="false">IF($I43="","",$I43+IF($J43="",0,$J43))</f>
        <v/>
      </c>
      <c r="R43" s="0" t="str">
        <f aca="false">IF($K43="","",$K43+IF($L43="",0,$L43))</f>
        <v/>
      </c>
      <c r="S43" s="4" t="n">
        <f aca="false">IF($V43=1,0,IF($R43&lt;&gt;"",1,IF($N43="",0,$N43)))</f>
        <v>0</v>
      </c>
      <c r="T43" s="4" t="n">
        <f aca="false">IF(OR($B43="",$E43=0),0,MEDIAN(0,($M$5-$C43)/($E43/24),1))</f>
        <v>0</v>
      </c>
      <c r="U43" s="4" t="n">
        <f aca="false">($S43-$T43)*$E43</f>
        <v>0</v>
      </c>
      <c r="V43" s="4" t="n">
        <f aca="false">IF(OR(AND($Q43&lt;&gt;"",$Q43&lt;$C$8),AND($Q43&lt;&gt;"",$R43&lt;&gt;"",$R43&lt;$Q43),AND($R43&lt;&gt;"",$Q43="")),1,0)</f>
        <v>0</v>
      </c>
      <c r="W43" s="98" t="n">
        <f aca="false">IF($B43="","",IF($S43=1,IF($R43&lt;&gt;"",$R43,$D43),IF($Q43&lt;&gt;"",MAX($M$5,$Q43)+$E43*(1-$S43)/24,MAX($M$5,$C43)+$E43/24)))</f>
        <v>46312.2916666667</v>
      </c>
      <c r="X43" s="4" t="n">
        <f aca="false">IF($B43="","",ROUND(($W43-$D43)*24,1))</f>
        <v>0</v>
      </c>
      <c r="Y43" s="4" t="n">
        <f aca="false">IF($B43="","",IF($Q43&lt;&gt;"",$X43,IF($X43&gt;0,MAX($X43,IF($Y42="",0,IF($Y42&gt;0,$Y42-MAX(0,($C43-$D42)*24),$Y42))),IF($Y42="",0,IF($Y42&gt;0,$Y42-MAX(0,($C43-$D42)*24),$Y42)))))</f>
        <v>18</v>
      </c>
      <c r="AB43" s="4" t="n">
        <f aca="false">IF(AND($B43&lt;&gt;"",$F43&gt;=17),1,0)</f>
        <v>0</v>
      </c>
    </row>
    <row r="44" customFormat="false" ht="19.5" hidden="false" customHeight="true" outlineLevel="0" collapsed="false">
      <c r="A44" s="85" t="n">
        <f aca="false">IF(OR($B44="",18&gt;$O$10),"",18)</f>
        <v>18</v>
      </c>
      <c r="B44" s="86" t="s">
        <v>116</v>
      </c>
      <c r="C44" s="87" t="n">
        <f aca="true">IF(OR($B44="",18&gt;$O$10),"",IF($F44=0,$C$8,IF($G44="SS",OFFSET($C$26,$F44,0)+$H44/24,IF($G44="FF",OFFSET($D$26,$F44,0)+$H44/24-$E44/24,IF($G44="SF",OFFSET($C$26,$F44,0)+$H44/24-$E44/24,OFFSET($D$26,$F44,0)+$H44/24)))))</f>
        <v>46312.2916666667</v>
      </c>
      <c r="D44" s="87" t="n">
        <f aca="false">IF(OR($B44="",18&gt;$O$10),"",$C44+$E44/24)</f>
        <v>46312.3333333333</v>
      </c>
      <c r="E44" s="88" t="n">
        <v>1</v>
      </c>
      <c r="F44" s="89" t="n">
        <v>17</v>
      </c>
      <c r="G44" s="90" t="s">
        <v>49</v>
      </c>
      <c r="H44" s="91" t="n">
        <v>0</v>
      </c>
      <c r="I44" s="92"/>
      <c r="J44" s="93"/>
      <c r="K44" s="92"/>
      <c r="L44" s="93"/>
      <c r="M44" s="94" t="str">
        <f aca="false">IF(OR($Q44="",$R44="",$V44=1),"",($R44-$Q44)*24)</f>
        <v/>
      </c>
      <c r="N44" s="95"/>
      <c r="O44" s="96" t="str">
        <f aca="false">IF(OR($B44="",18&gt;$O$10),"",IF($AB44=1,"! CHECK LINK",IF($V44=1,"! CHECK DATES",IF($S44=1,IF($R44="","Completed",IF($R44&lt;$D44,"Completed - Ahead",IF($R44&lt;=$D44+1/1440,"Completed - On Time","Completed - Delayed"))),IF($Q44&lt;&gt;"",IF($Y44&lt;=0.1,"In Progress - On Track","In Progress - BEHIND"),IF($M$5&lt;$C44,"Not Started","NOT STARTED - LATE"))))))</f>
        <v>Not Started</v>
      </c>
      <c r="P44" s="97"/>
      <c r="Q44" s="0" t="str">
        <f aca="false">IF($I44="","",$I44+IF($J44="",0,$J44))</f>
        <v/>
      </c>
      <c r="R44" s="0" t="str">
        <f aca="false">IF($K44="","",$K44+IF($L44="",0,$L44))</f>
        <v/>
      </c>
      <c r="S44" s="4" t="n">
        <f aca="false">IF($V44=1,0,IF($R44&lt;&gt;"",1,IF($N44="",0,$N44)))</f>
        <v>0</v>
      </c>
      <c r="T44" s="4" t="n">
        <f aca="false">IF(OR($B44="",$E44=0),0,MEDIAN(0,($M$5-$C44)/($E44/24),1))</f>
        <v>0</v>
      </c>
      <c r="U44" s="4" t="n">
        <f aca="false">($S44-$T44)*$E44</f>
        <v>0</v>
      </c>
      <c r="V44" s="4" t="n">
        <f aca="false">IF(OR(AND($Q44&lt;&gt;"",$Q44&lt;$C$8),AND($Q44&lt;&gt;"",$R44&lt;&gt;"",$R44&lt;$Q44),AND($R44&lt;&gt;"",$Q44="")),1,0)</f>
        <v>0</v>
      </c>
      <c r="W44" s="98" t="n">
        <f aca="false">IF($B44="","",IF($S44=1,IF($R44&lt;&gt;"",$R44,$D44),IF($Q44&lt;&gt;"",MAX($M$5,$Q44)+$E44*(1-$S44)/24,MAX($M$5,$C44)+$E44/24)))</f>
        <v>46312.3333333333</v>
      </c>
      <c r="X44" s="4" t="n">
        <f aca="false">IF($B44="","",ROUND(($W44-$D44)*24,1))</f>
        <v>0</v>
      </c>
      <c r="Y44" s="4" t="n">
        <f aca="false">IF($B44="","",IF($Q44&lt;&gt;"",$X44,IF($X44&gt;0,MAX($X44,IF($Y43="",0,IF($Y43&gt;0,$Y43-MAX(0,($C44-$D43)*24),$Y43))),IF($Y43="",0,IF($Y43&gt;0,$Y43-MAX(0,($C44-$D43)*24),$Y43)))))</f>
        <v>18</v>
      </c>
      <c r="AB44" s="4" t="n">
        <f aca="false">IF(AND($B44&lt;&gt;"",$F44&gt;=18),1,0)</f>
        <v>0</v>
      </c>
    </row>
    <row r="45" customFormat="false" ht="19.5" hidden="false" customHeight="true" outlineLevel="0" collapsed="false">
      <c r="A45" s="85" t="n">
        <f aca="false">IF(OR($B45="",19&gt;$O$10),"",19)</f>
        <v>19</v>
      </c>
      <c r="B45" s="86" t="s">
        <v>117</v>
      </c>
      <c r="C45" s="87" t="n">
        <f aca="true">IF(OR($B45="",19&gt;$O$10),"",IF($F45=0,$C$8,IF($G45="SS",OFFSET($C$26,$F45,0)+$H45/24,IF($G45="FF",OFFSET($D$26,$F45,0)+$H45/24-$E45/24,IF($G45="SF",OFFSET($C$26,$F45,0)+$H45/24-$E45/24,OFFSET($D$26,$F45,0)+$H45/24)))))</f>
        <v>46312.3333333333</v>
      </c>
      <c r="D45" s="87" t="n">
        <f aca="false">IF(OR($B45="",19&gt;$O$10),"",$C45+$E45/24)</f>
        <v>46312.4166666667</v>
      </c>
      <c r="E45" s="88" t="n">
        <v>2</v>
      </c>
      <c r="F45" s="89" t="n">
        <v>18</v>
      </c>
      <c r="G45" s="90" t="s">
        <v>49</v>
      </c>
      <c r="H45" s="91" t="n">
        <v>0</v>
      </c>
      <c r="I45" s="92"/>
      <c r="J45" s="93"/>
      <c r="K45" s="92"/>
      <c r="L45" s="93"/>
      <c r="M45" s="94" t="str">
        <f aca="false">IF(OR($Q45="",$R45="",$V45=1),"",($R45-$Q45)*24)</f>
        <v/>
      </c>
      <c r="N45" s="95"/>
      <c r="O45" s="96" t="str">
        <f aca="false">IF(OR($B45="",19&gt;$O$10),"",IF($AB45=1,"! CHECK LINK",IF($V45=1,"! CHECK DATES",IF($S45=1,IF($R45="","Completed",IF($R45&lt;$D45,"Completed - Ahead",IF($R45&lt;=$D45+1/1440,"Completed - On Time","Completed - Delayed"))),IF($Q45&lt;&gt;"",IF($Y45&lt;=0.1,"In Progress - On Track","In Progress - BEHIND"),IF($M$5&lt;$C45,"Not Started","NOT STARTED - LATE"))))))</f>
        <v>Not Started</v>
      </c>
      <c r="P45" s="97"/>
      <c r="Q45" s="0" t="str">
        <f aca="false">IF($I45="","",$I45+IF($J45="",0,$J45))</f>
        <v/>
      </c>
      <c r="R45" s="0" t="str">
        <f aca="false">IF($K45="","",$K45+IF($L45="",0,$L45))</f>
        <v/>
      </c>
      <c r="S45" s="4" t="n">
        <f aca="false">IF($V45=1,0,IF($R45&lt;&gt;"",1,IF($N45="",0,$N45)))</f>
        <v>0</v>
      </c>
      <c r="T45" s="4" t="n">
        <f aca="false">IF(OR($B45="",$E45=0),0,MEDIAN(0,($M$5-$C45)/($E45/24),1))</f>
        <v>0</v>
      </c>
      <c r="U45" s="4" t="n">
        <f aca="false">($S45-$T45)*$E45</f>
        <v>0</v>
      </c>
      <c r="V45" s="4" t="n">
        <f aca="false">IF(OR(AND($Q45&lt;&gt;"",$Q45&lt;$C$8),AND($Q45&lt;&gt;"",$R45&lt;&gt;"",$R45&lt;$Q45),AND($R45&lt;&gt;"",$Q45="")),1,0)</f>
        <v>0</v>
      </c>
      <c r="W45" s="98" t="n">
        <f aca="false">IF($B45="","",IF($S45=1,IF($R45&lt;&gt;"",$R45,$D45),IF($Q45&lt;&gt;"",MAX($M$5,$Q45)+$E45*(1-$S45)/24,MAX($M$5,$C45)+$E45/24)))</f>
        <v>46312.4166666667</v>
      </c>
      <c r="X45" s="4" t="n">
        <f aca="false">IF($B45="","",ROUND(($W45-$D45)*24,1))</f>
        <v>0</v>
      </c>
      <c r="Y45" s="4" t="n">
        <f aca="false">IF($B45="","",IF($Q45&lt;&gt;"",$X45,IF($X45&gt;0,MAX($X45,IF($Y44="",0,IF($Y44&gt;0,$Y44-MAX(0,($C45-$D44)*24),$Y44))),IF($Y44="",0,IF($Y44&gt;0,$Y44-MAX(0,($C45-$D44)*24),$Y44)))))</f>
        <v>18</v>
      </c>
      <c r="AB45" s="4" t="n">
        <f aca="false">IF(AND($B45&lt;&gt;"",$F45&gt;=19),1,0)</f>
        <v>0</v>
      </c>
    </row>
    <row r="46" customFormat="false" ht="19.5" hidden="false" customHeight="true" outlineLevel="0" collapsed="false">
      <c r="A46" s="85" t="n">
        <f aca="false">IF(OR($B46="",20&gt;$O$10),"",20)</f>
        <v>20</v>
      </c>
      <c r="B46" s="86" t="s">
        <v>118</v>
      </c>
      <c r="C46" s="87" t="n">
        <f aca="true">IF(OR($B46="",20&gt;$O$10),"",IF($F46=0,$C$8,IF($G46="SS",OFFSET($C$26,$F46,0)+$H46/24,IF($G46="FF",OFFSET($D$26,$F46,0)+$H46/24-$E46/24,IF($G46="SF",OFFSET($C$26,$F46,0)+$H46/24-$E46/24,OFFSET($D$26,$F46,0)+$H46/24)))))</f>
        <v>46312.4166666667</v>
      </c>
      <c r="D46" s="87" t="n">
        <f aca="false">IF(OR($B46="",20&gt;$O$10),"",$C46+$E46/24)</f>
        <v>46312.5</v>
      </c>
      <c r="E46" s="88" t="n">
        <v>2</v>
      </c>
      <c r="F46" s="89" t="n">
        <v>19</v>
      </c>
      <c r="G46" s="90" t="s">
        <v>49</v>
      </c>
      <c r="H46" s="91" t="n">
        <v>0</v>
      </c>
      <c r="I46" s="92"/>
      <c r="J46" s="93"/>
      <c r="K46" s="92"/>
      <c r="L46" s="93"/>
      <c r="M46" s="94" t="str">
        <f aca="false">IF(OR($Q46="",$R46="",$V46=1),"",($R46-$Q46)*24)</f>
        <v/>
      </c>
      <c r="N46" s="95"/>
      <c r="O46" s="96" t="str">
        <f aca="false">IF(OR($B46="",20&gt;$O$10),"",IF($AB46=1,"! CHECK LINK",IF($V46=1,"! CHECK DATES",IF($S46=1,IF($R46="","Completed",IF($R46&lt;$D46,"Completed - Ahead",IF($R46&lt;=$D46+1/1440,"Completed - On Time","Completed - Delayed"))),IF($Q46&lt;&gt;"",IF($Y46&lt;=0.1,"In Progress - On Track","In Progress - BEHIND"),IF($M$5&lt;$C46,"Not Started","NOT STARTED - LATE"))))))</f>
        <v>Not Started</v>
      </c>
      <c r="P46" s="97"/>
      <c r="Q46" s="0" t="str">
        <f aca="false">IF($I46="","",$I46+IF($J46="",0,$J46))</f>
        <v/>
      </c>
      <c r="R46" s="0" t="str">
        <f aca="false">IF($K46="","",$K46+IF($L46="",0,$L46))</f>
        <v/>
      </c>
      <c r="S46" s="4" t="n">
        <f aca="false">IF($V46=1,0,IF($R46&lt;&gt;"",1,IF($N46="",0,$N46)))</f>
        <v>0</v>
      </c>
      <c r="T46" s="4" t="n">
        <f aca="false">IF(OR($B46="",$E46=0),0,MEDIAN(0,($M$5-$C46)/($E46/24),1))</f>
        <v>0</v>
      </c>
      <c r="U46" s="4" t="n">
        <f aca="false">($S46-$T46)*$E46</f>
        <v>0</v>
      </c>
      <c r="V46" s="4" t="n">
        <f aca="false">IF(OR(AND($Q46&lt;&gt;"",$Q46&lt;$C$8),AND($Q46&lt;&gt;"",$R46&lt;&gt;"",$R46&lt;$Q46),AND($R46&lt;&gt;"",$Q46="")),1,0)</f>
        <v>0</v>
      </c>
      <c r="W46" s="98" t="n">
        <f aca="false">IF($B46="","",IF($S46=1,IF($R46&lt;&gt;"",$R46,$D46),IF($Q46&lt;&gt;"",MAX($M$5,$Q46)+$E46*(1-$S46)/24,MAX($M$5,$C46)+$E46/24)))</f>
        <v>46312.5</v>
      </c>
      <c r="X46" s="4" t="n">
        <f aca="false">IF($B46="","",ROUND(($W46-$D46)*24,1))</f>
        <v>0</v>
      </c>
      <c r="Y46" s="4" t="n">
        <f aca="false">IF($B46="","",IF($Q46&lt;&gt;"",$X46,IF($X46&gt;0,MAX($X46,IF($Y45="",0,IF($Y45&gt;0,$Y45-MAX(0,($C46-$D45)*24),$Y45))),IF($Y45="",0,IF($Y45&gt;0,$Y45-MAX(0,($C46-$D45)*24),$Y45)))))</f>
        <v>18</v>
      </c>
      <c r="AB46" s="4" t="n">
        <f aca="false">IF(AND($B46&lt;&gt;"",$F46&gt;=20),1,0)</f>
        <v>0</v>
      </c>
    </row>
    <row r="47" customFormat="false" ht="19.5" hidden="false" customHeight="true" outlineLevel="0" collapsed="false">
      <c r="A47" s="85" t="n">
        <f aca="false">IF(OR($B47="",21&gt;$O$10),"",21)</f>
        <v>21</v>
      </c>
      <c r="B47" s="86" t="s">
        <v>119</v>
      </c>
      <c r="C47" s="87" t="n">
        <f aca="true">IF(OR($B47="",21&gt;$O$10),"",IF($F47=0,$C$8,IF($G47="SS",OFFSET($C$26,$F47,0)+$H47/24,IF($G47="FF",OFFSET($D$26,$F47,0)+$H47/24-$E47/24,IF($G47="SF",OFFSET($C$26,$F47,0)+$H47/24-$E47/24,OFFSET($D$26,$F47,0)+$H47/24)))))</f>
        <v>46312.5</v>
      </c>
      <c r="D47" s="87" t="n">
        <f aca="false">IF(OR($B47="",21&gt;$O$10),"",$C47+$E47/24)</f>
        <v>46312.5416666667</v>
      </c>
      <c r="E47" s="88" t="n">
        <v>1</v>
      </c>
      <c r="F47" s="89" t="n">
        <v>20</v>
      </c>
      <c r="G47" s="90" t="s">
        <v>49</v>
      </c>
      <c r="H47" s="91" t="n">
        <v>0</v>
      </c>
      <c r="I47" s="92"/>
      <c r="J47" s="93"/>
      <c r="K47" s="92"/>
      <c r="L47" s="93"/>
      <c r="M47" s="94" t="str">
        <f aca="false">IF(OR($Q47="",$R47="",$V47=1),"",($R47-$Q47)*24)</f>
        <v/>
      </c>
      <c r="N47" s="95"/>
      <c r="O47" s="96" t="str">
        <f aca="false">IF(OR($B47="",21&gt;$O$10),"",IF($AB47=1,"! CHECK LINK",IF($V47=1,"! CHECK DATES",IF($S47=1,IF($R47="","Completed",IF($R47&lt;$D47,"Completed - Ahead",IF($R47&lt;=$D47+1/1440,"Completed - On Time","Completed - Delayed"))),IF($Q47&lt;&gt;"",IF($Y47&lt;=0.1,"In Progress - On Track","In Progress - BEHIND"),IF($M$5&lt;$C47,"Not Started","NOT STARTED - LATE"))))))</f>
        <v>Not Started</v>
      </c>
      <c r="P47" s="97"/>
      <c r="Q47" s="0" t="str">
        <f aca="false">IF($I47="","",$I47+IF($J47="",0,$J47))</f>
        <v/>
      </c>
      <c r="R47" s="0" t="str">
        <f aca="false">IF($K47="","",$K47+IF($L47="",0,$L47))</f>
        <v/>
      </c>
      <c r="S47" s="4" t="n">
        <f aca="false">IF($V47=1,0,IF($R47&lt;&gt;"",1,IF($N47="",0,$N47)))</f>
        <v>0</v>
      </c>
      <c r="T47" s="4" t="n">
        <f aca="false">IF(OR($B47="",$E47=0),0,MEDIAN(0,($M$5-$C47)/($E47/24),1))</f>
        <v>0</v>
      </c>
      <c r="U47" s="4" t="n">
        <f aca="false">($S47-$T47)*$E47</f>
        <v>0</v>
      </c>
      <c r="V47" s="4" t="n">
        <f aca="false">IF(OR(AND($Q47&lt;&gt;"",$Q47&lt;$C$8),AND($Q47&lt;&gt;"",$R47&lt;&gt;"",$R47&lt;$Q47),AND($R47&lt;&gt;"",$Q47="")),1,0)</f>
        <v>0</v>
      </c>
      <c r="W47" s="98" t="n">
        <f aca="false">IF($B47="","",IF($S47=1,IF($R47&lt;&gt;"",$R47,$D47),IF($Q47&lt;&gt;"",MAX($M$5,$Q47)+$E47*(1-$S47)/24,MAX($M$5,$C47)+$E47/24)))</f>
        <v>46312.5416666667</v>
      </c>
      <c r="X47" s="4" t="n">
        <f aca="false">IF($B47="","",ROUND(($W47-$D47)*24,1))</f>
        <v>0</v>
      </c>
      <c r="Y47" s="4" t="n">
        <f aca="false">IF($B47="","",IF($Q47&lt;&gt;"",$X47,IF($X47&gt;0,MAX($X47,IF($Y46="",0,IF($Y46&gt;0,$Y46-MAX(0,($C47-$D46)*24),$Y46))),IF($Y46="",0,IF($Y46&gt;0,$Y46-MAX(0,($C47-$D46)*24),$Y46)))))</f>
        <v>18</v>
      </c>
      <c r="AB47" s="4" t="n">
        <f aca="false">IF(AND($B47&lt;&gt;"",$F47&gt;=21),1,0)</f>
        <v>0</v>
      </c>
    </row>
    <row r="48" customFormat="false" ht="19.5" hidden="false" customHeight="true" outlineLevel="0" collapsed="false">
      <c r="A48" s="85" t="n">
        <f aca="false">IF(OR($B48="",22&gt;$O$10),"",22)</f>
        <v>22</v>
      </c>
      <c r="B48" s="86" t="s">
        <v>120</v>
      </c>
      <c r="C48" s="87" t="n">
        <f aca="true">IF(OR($B48="",22&gt;$O$10),"",IF($F48=0,$C$8,IF($G48="SS",OFFSET($C$26,$F48,0)+$H48/24,IF($G48="FF",OFFSET($D$26,$F48,0)+$H48/24-$E48/24,IF($G48="SF",OFFSET($C$26,$F48,0)+$H48/24-$E48/24,OFFSET($D$26,$F48,0)+$H48/24)))))</f>
        <v>46312.5416666667</v>
      </c>
      <c r="D48" s="87" t="n">
        <f aca="false">IF(OR($B48="",22&gt;$O$10),"",$C48+$E48/24)</f>
        <v>46312.5833333333</v>
      </c>
      <c r="E48" s="88" t="n">
        <v>1</v>
      </c>
      <c r="F48" s="89" t="n">
        <v>21</v>
      </c>
      <c r="G48" s="90" t="s">
        <v>49</v>
      </c>
      <c r="H48" s="91" t="n">
        <v>0</v>
      </c>
      <c r="I48" s="92"/>
      <c r="J48" s="93"/>
      <c r="K48" s="92"/>
      <c r="L48" s="93"/>
      <c r="M48" s="94" t="str">
        <f aca="false">IF(OR($Q48="",$R48="",$V48=1),"",($R48-$Q48)*24)</f>
        <v/>
      </c>
      <c r="N48" s="95"/>
      <c r="O48" s="96" t="str">
        <f aca="false">IF(OR($B48="",22&gt;$O$10),"",IF($AB48=1,"! CHECK LINK",IF($V48=1,"! CHECK DATES",IF($S48=1,IF($R48="","Completed",IF($R48&lt;$D48,"Completed - Ahead",IF($R48&lt;=$D48+1/1440,"Completed - On Time","Completed - Delayed"))),IF($Q48&lt;&gt;"",IF($Y48&lt;=0.1,"In Progress - On Track","In Progress - BEHIND"),IF($M$5&lt;$C48,"Not Started","NOT STARTED - LATE"))))))</f>
        <v>Not Started</v>
      </c>
      <c r="P48" s="97"/>
      <c r="Q48" s="0" t="str">
        <f aca="false">IF($I48="","",$I48+IF($J48="",0,$J48))</f>
        <v/>
      </c>
      <c r="R48" s="0" t="str">
        <f aca="false">IF($K48="","",$K48+IF($L48="",0,$L48))</f>
        <v/>
      </c>
      <c r="S48" s="4" t="n">
        <f aca="false">IF($V48=1,0,IF($R48&lt;&gt;"",1,IF($N48="",0,$N48)))</f>
        <v>0</v>
      </c>
      <c r="T48" s="4" t="n">
        <f aca="false">IF(OR($B48="",$E48=0),0,MEDIAN(0,($M$5-$C48)/($E48/24),1))</f>
        <v>0</v>
      </c>
      <c r="U48" s="4" t="n">
        <f aca="false">($S48-$T48)*$E48</f>
        <v>0</v>
      </c>
      <c r="V48" s="4" t="n">
        <f aca="false">IF(OR(AND($Q48&lt;&gt;"",$Q48&lt;$C$8),AND($Q48&lt;&gt;"",$R48&lt;&gt;"",$R48&lt;$Q48),AND($R48&lt;&gt;"",$Q48="")),1,0)</f>
        <v>0</v>
      </c>
      <c r="W48" s="98" t="n">
        <f aca="false">IF($B48="","",IF($S48=1,IF($R48&lt;&gt;"",$R48,$D48),IF($Q48&lt;&gt;"",MAX($M$5,$Q48)+$E48*(1-$S48)/24,MAX($M$5,$C48)+$E48/24)))</f>
        <v>46312.5833333333</v>
      </c>
      <c r="X48" s="4" t="n">
        <f aca="false">IF($B48="","",ROUND(($W48-$D48)*24,1))</f>
        <v>0</v>
      </c>
      <c r="Y48" s="4" t="n">
        <f aca="false">IF($B48="","",IF($Q48&lt;&gt;"",$X48,IF($X48&gt;0,MAX($X48,IF($Y47="",0,IF($Y47&gt;0,$Y47-MAX(0,($C48-$D47)*24),$Y47))),IF($Y47="",0,IF($Y47&gt;0,$Y47-MAX(0,($C48-$D47)*24),$Y47)))))</f>
        <v>18</v>
      </c>
      <c r="AB48" s="4" t="n">
        <f aca="false">IF(AND($B48&lt;&gt;"",$F48&gt;=22),1,0)</f>
        <v>0</v>
      </c>
    </row>
    <row r="49" customFormat="false" ht="19.5" hidden="false" customHeight="true" outlineLevel="0" collapsed="false">
      <c r="A49" s="85" t="n">
        <f aca="false">IF(OR($B49="",23&gt;$O$10),"",23)</f>
        <v>23</v>
      </c>
      <c r="B49" s="86" t="s">
        <v>121</v>
      </c>
      <c r="C49" s="87" t="n">
        <f aca="true">IF(OR($B49="",23&gt;$O$10),"",IF($F49=0,$C$8,IF($G49="SS",OFFSET($C$26,$F49,0)+$H49/24,IF($G49="FF",OFFSET($D$26,$F49,0)+$H49/24-$E49/24,IF($G49="SF",OFFSET($C$26,$F49,0)+$H49/24-$E49/24,OFFSET($D$26,$F49,0)+$H49/24)))))</f>
        <v>46312.5833333333</v>
      </c>
      <c r="D49" s="87" t="n">
        <f aca="false">IF(OR($B49="",23&gt;$O$10),"",$C49+$E49/24)</f>
        <v>46312.6666666667</v>
      </c>
      <c r="E49" s="88" t="n">
        <v>2</v>
      </c>
      <c r="F49" s="89" t="n">
        <v>22</v>
      </c>
      <c r="G49" s="90" t="s">
        <v>49</v>
      </c>
      <c r="H49" s="91" t="n">
        <v>0</v>
      </c>
      <c r="I49" s="92"/>
      <c r="J49" s="93"/>
      <c r="K49" s="92"/>
      <c r="L49" s="93"/>
      <c r="M49" s="94" t="str">
        <f aca="false">IF(OR($Q49="",$R49="",$V49=1),"",($R49-$Q49)*24)</f>
        <v/>
      </c>
      <c r="N49" s="95"/>
      <c r="O49" s="96" t="str">
        <f aca="false">IF(OR($B49="",23&gt;$O$10),"",IF($AB49=1,"! CHECK LINK",IF($V49=1,"! CHECK DATES",IF($S49=1,IF($R49="","Completed",IF($R49&lt;$D49,"Completed - Ahead",IF($R49&lt;=$D49+1/1440,"Completed - On Time","Completed - Delayed"))),IF($Q49&lt;&gt;"",IF($Y49&lt;=0.1,"In Progress - On Track","In Progress - BEHIND"),IF($M$5&lt;$C49,"Not Started","NOT STARTED - LATE"))))))</f>
        <v>Not Started</v>
      </c>
      <c r="P49" s="97"/>
      <c r="Q49" s="0" t="str">
        <f aca="false">IF($I49="","",$I49+IF($J49="",0,$J49))</f>
        <v/>
      </c>
      <c r="R49" s="0" t="str">
        <f aca="false">IF($K49="","",$K49+IF($L49="",0,$L49))</f>
        <v/>
      </c>
      <c r="S49" s="4" t="n">
        <f aca="false">IF($V49=1,0,IF($R49&lt;&gt;"",1,IF($N49="",0,$N49)))</f>
        <v>0</v>
      </c>
      <c r="T49" s="4" t="n">
        <f aca="false">IF(OR($B49="",$E49=0),0,MEDIAN(0,($M$5-$C49)/($E49/24),1))</f>
        <v>0</v>
      </c>
      <c r="U49" s="4" t="n">
        <f aca="false">($S49-$T49)*$E49</f>
        <v>0</v>
      </c>
      <c r="V49" s="4" t="n">
        <f aca="false">IF(OR(AND($Q49&lt;&gt;"",$Q49&lt;$C$8),AND($Q49&lt;&gt;"",$R49&lt;&gt;"",$R49&lt;$Q49),AND($R49&lt;&gt;"",$Q49="")),1,0)</f>
        <v>0</v>
      </c>
      <c r="W49" s="98" t="n">
        <f aca="false">IF($B49="","",IF($S49=1,IF($R49&lt;&gt;"",$R49,$D49),IF($Q49&lt;&gt;"",MAX($M$5,$Q49)+$E49*(1-$S49)/24,MAX($M$5,$C49)+$E49/24)))</f>
        <v>46312.6666666667</v>
      </c>
      <c r="X49" s="4" t="n">
        <f aca="false">IF($B49="","",ROUND(($W49-$D49)*24,1))</f>
        <v>0</v>
      </c>
      <c r="Y49" s="4" t="n">
        <f aca="false">IF($B49="","",IF($Q49&lt;&gt;"",$X49,IF($X49&gt;0,MAX($X49,IF($Y48="",0,IF($Y48&gt;0,$Y48-MAX(0,($C49-$D48)*24),$Y48))),IF($Y48="",0,IF($Y48&gt;0,$Y48-MAX(0,($C49-$D48)*24),$Y48)))))</f>
        <v>18</v>
      </c>
      <c r="AB49" s="4" t="n">
        <f aca="false">IF(AND($B49&lt;&gt;"",$F49&gt;=23),1,0)</f>
        <v>0</v>
      </c>
    </row>
    <row r="50" customFormat="false" ht="19.5" hidden="false" customHeight="true" outlineLevel="0" collapsed="false">
      <c r="A50" s="85" t="n">
        <f aca="false">IF(OR($B50="",24&gt;$O$10),"",24)</f>
        <v>24</v>
      </c>
      <c r="B50" s="86" t="s">
        <v>122</v>
      </c>
      <c r="C50" s="87" t="n">
        <f aca="true">IF(OR($B50="",24&gt;$O$10),"",IF($F50=0,$C$8,IF($G50="SS",OFFSET($C$26,$F50,0)+$H50/24,IF($G50="FF",OFFSET($D$26,$F50,0)+$H50/24-$E50/24,IF($G50="SF",OFFSET($C$26,$F50,0)+$H50/24-$E50/24,OFFSET($D$26,$F50,0)+$H50/24)))))</f>
        <v>46312.6666666667</v>
      </c>
      <c r="D50" s="87" t="n">
        <f aca="false">IF(OR($B50="",24&gt;$O$10),"",$C50+$E50/24)</f>
        <v>46312.8333333333</v>
      </c>
      <c r="E50" s="88" t="n">
        <v>4</v>
      </c>
      <c r="F50" s="89" t="n">
        <v>23</v>
      </c>
      <c r="G50" s="90" t="s">
        <v>49</v>
      </c>
      <c r="H50" s="91" t="n">
        <v>0</v>
      </c>
      <c r="I50" s="92"/>
      <c r="J50" s="93"/>
      <c r="K50" s="92"/>
      <c r="L50" s="93"/>
      <c r="M50" s="94" t="str">
        <f aca="false">IF(OR($Q50="",$R50="",$V50=1),"",($R50-$Q50)*24)</f>
        <v/>
      </c>
      <c r="N50" s="95"/>
      <c r="O50" s="96" t="str">
        <f aca="false">IF(OR($B50="",24&gt;$O$10),"",IF($AB50=1,"! CHECK LINK",IF($V50=1,"! CHECK DATES",IF($S50=1,IF($R50="","Completed",IF($R50&lt;$D50,"Completed - Ahead",IF($R50&lt;=$D50+1/1440,"Completed - On Time","Completed - Delayed"))),IF($Q50&lt;&gt;"",IF($Y50&lt;=0.1,"In Progress - On Track","In Progress - BEHIND"),IF($M$5&lt;$C50,"Not Started","NOT STARTED - LATE"))))))</f>
        <v>Not Started</v>
      </c>
      <c r="P50" s="97"/>
      <c r="Q50" s="0" t="str">
        <f aca="false">IF($I50="","",$I50+IF($J50="",0,$J50))</f>
        <v/>
      </c>
      <c r="R50" s="0" t="str">
        <f aca="false">IF($K50="","",$K50+IF($L50="",0,$L50))</f>
        <v/>
      </c>
      <c r="S50" s="4" t="n">
        <f aca="false">IF($V50=1,0,IF($R50&lt;&gt;"",1,IF($N50="",0,$N50)))</f>
        <v>0</v>
      </c>
      <c r="T50" s="4" t="n">
        <f aca="false">IF(OR($B50="",$E50=0),0,MEDIAN(0,($M$5-$C50)/($E50/24),1))</f>
        <v>0</v>
      </c>
      <c r="U50" s="4" t="n">
        <f aca="false">($S50-$T50)*$E50</f>
        <v>0</v>
      </c>
      <c r="V50" s="4" t="n">
        <f aca="false">IF(OR(AND($Q50&lt;&gt;"",$Q50&lt;$C$8),AND($Q50&lt;&gt;"",$R50&lt;&gt;"",$R50&lt;$Q50),AND($R50&lt;&gt;"",$Q50="")),1,0)</f>
        <v>0</v>
      </c>
      <c r="W50" s="98" t="n">
        <f aca="false">IF($B50="","",IF($S50=1,IF($R50&lt;&gt;"",$R50,$D50),IF($Q50&lt;&gt;"",MAX($M$5,$Q50)+$E50*(1-$S50)/24,MAX($M$5,$C50)+$E50/24)))</f>
        <v>46312.8333333333</v>
      </c>
      <c r="X50" s="4" t="n">
        <f aca="false">IF($B50="","",ROUND(($W50-$D50)*24,1))</f>
        <v>0</v>
      </c>
      <c r="Y50" s="4" t="n">
        <f aca="false">IF($B50="","",IF($Q50&lt;&gt;"",$X50,IF($X50&gt;0,MAX($X50,IF($Y49="",0,IF($Y49&gt;0,$Y49-MAX(0,($C50-$D49)*24),$Y49))),IF($Y49="",0,IF($Y49&gt;0,$Y49-MAX(0,($C50-$D49)*24),$Y49)))))</f>
        <v>18</v>
      </c>
      <c r="AB50" s="4" t="n">
        <f aca="false">IF(AND($B50&lt;&gt;"",$F50&gt;=24),1,0)</f>
        <v>0</v>
      </c>
    </row>
    <row r="51" customFormat="false" ht="19.5" hidden="false" customHeight="true" outlineLevel="0" collapsed="false">
      <c r="A51" s="85" t="n">
        <f aca="false">IF(OR($B51="",25&gt;$O$10),"",25)</f>
        <v>25</v>
      </c>
      <c r="B51" s="86" t="s">
        <v>123</v>
      </c>
      <c r="C51" s="87" t="n">
        <f aca="true">IF(OR($B51="",25&gt;$O$10),"",IF($F51=0,$C$8,IF($G51="SS",OFFSET($C$26,$F51,0)+$H51/24,IF($G51="FF",OFFSET($D$26,$F51,0)+$H51/24-$E51/24,IF($G51="SF",OFFSET($C$26,$F51,0)+$H51/24-$E51/24,OFFSET($D$26,$F51,0)+$H51/24)))))</f>
        <v>46312.8333333333</v>
      </c>
      <c r="D51" s="87" t="n">
        <f aca="false">IF(OR($B51="",25&gt;$O$10),"",$C51+$E51/24)</f>
        <v>46313</v>
      </c>
      <c r="E51" s="88" t="n">
        <v>4</v>
      </c>
      <c r="F51" s="89" t="n">
        <v>24</v>
      </c>
      <c r="G51" s="90" t="s">
        <v>49</v>
      </c>
      <c r="H51" s="91" t="n">
        <v>0</v>
      </c>
      <c r="I51" s="92"/>
      <c r="J51" s="93"/>
      <c r="K51" s="92"/>
      <c r="L51" s="93"/>
      <c r="M51" s="94" t="str">
        <f aca="false">IF(OR($Q51="",$R51="",$V51=1),"",($R51-$Q51)*24)</f>
        <v/>
      </c>
      <c r="N51" s="95"/>
      <c r="O51" s="96" t="str">
        <f aca="false">IF(OR($B51="",25&gt;$O$10),"",IF($AB51=1,"! CHECK LINK",IF($V51=1,"! CHECK DATES",IF($S51=1,IF($R51="","Completed",IF($R51&lt;$D51,"Completed - Ahead",IF($R51&lt;=$D51+1/1440,"Completed - On Time","Completed - Delayed"))),IF($Q51&lt;&gt;"",IF($Y51&lt;=0.1,"In Progress - On Track","In Progress - BEHIND"),IF($M$5&lt;$C51,"Not Started","NOT STARTED - LATE"))))))</f>
        <v>Not Started</v>
      </c>
      <c r="P51" s="97"/>
      <c r="Q51" s="0" t="str">
        <f aca="false">IF($I51="","",$I51+IF($J51="",0,$J51))</f>
        <v/>
      </c>
      <c r="R51" s="0" t="str">
        <f aca="false">IF($K51="","",$K51+IF($L51="",0,$L51))</f>
        <v/>
      </c>
      <c r="S51" s="4" t="n">
        <f aca="false">IF($V51=1,0,IF($R51&lt;&gt;"",1,IF($N51="",0,$N51)))</f>
        <v>0</v>
      </c>
      <c r="T51" s="4" t="n">
        <f aca="false">IF(OR($B51="",$E51=0),0,MEDIAN(0,($M$5-$C51)/($E51/24),1))</f>
        <v>0</v>
      </c>
      <c r="U51" s="4" t="n">
        <f aca="false">($S51-$T51)*$E51</f>
        <v>0</v>
      </c>
      <c r="V51" s="4" t="n">
        <f aca="false">IF(OR(AND($Q51&lt;&gt;"",$Q51&lt;$C$8),AND($Q51&lt;&gt;"",$R51&lt;&gt;"",$R51&lt;$Q51),AND($R51&lt;&gt;"",$Q51="")),1,0)</f>
        <v>0</v>
      </c>
      <c r="W51" s="98" t="n">
        <f aca="false">IF($B51="","",IF($S51=1,IF($R51&lt;&gt;"",$R51,$D51),IF($Q51&lt;&gt;"",MAX($M$5,$Q51)+$E51*(1-$S51)/24,MAX($M$5,$C51)+$E51/24)))</f>
        <v>46313</v>
      </c>
      <c r="X51" s="4" t="n">
        <f aca="false">IF($B51="","",ROUND(($W51-$D51)*24,1))</f>
        <v>0</v>
      </c>
      <c r="Y51" s="4" t="n">
        <f aca="false">IF($B51="","",IF($Q51&lt;&gt;"",$X51,IF($X51&gt;0,MAX($X51,IF($Y50="",0,IF($Y50&gt;0,$Y50-MAX(0,($C51-$D50)*24),$Y50))),IF($Y50="",0,IF($Y50&gt;0,$Y50-MAX(0,($C51-$D50)*24),$Y50)))))</f>
        <v>18</v>
      </c>
      <c r="AB51" s="4" t="n">
        <f aca="false">IF(AND($B51&lt;&gt;"",$F51&gt;=25),1,0)</f>
        <v>0</v>
      </c>
    </row>
    <row r="52" customFormat="false" ht="19.5" hidden="false" customHeight="true" outlineLevel="0" collapsed="false">
      <c r="A52" s="85" t="n">
        <f aca="false">IF(OR($B52="",26&gt;$O$10),"",26)</f>
        <v>26</v>
      </c>
      <c r="B52" s="86" t="s">
        <v>124</v>
      </c>
      <c r="C52" s="87" t="n">
        <f aca="true">IF(OR($B52="",26&gt;$O$10),"",IF($F52=0,$C$8,IF($G52="SS",OFFSET($C$26,$F52,0)+$H52/24,IF($G52="FF",OFFSET($D$26,$F52,0)+$H52/24-$E52/24,IF($G52="SF",OFFSET($C$26,$F52,0)+$H52/24-$E52/24,OFFSET($D$26,$F52,0)+$H52/24)))))</f>
        <v>46313</v>
      </c>
      <c r="D52" s="87" t="n">
        <f aca="false">IF(OR($B52="",26&gt;$O$10),"",$C52+$E52/24)</f>
        <v>46313.0416666667</v>
      </c>
      <c r="E52" s="88" t="n">
        <v>1</v>
      </c>
      <c r="F52" s="89" t="n">
        <v>25</v>
      </c>
      <c r="G52" s="90" t="s">
        <v>49</v>
      </c>
      <c r="H52" s="91" t="n">
        <v>0</v>
      </c>
      <c r="I52" s="92"/>
      <c r="J52" s="93"/>
      <c r="K52" s="92"/>
      <c r="L52" s="93"/>
      <c r="M52" s="94" t="str">
        <f aca="false">IF(OR($Q52="",$R52="",$V52=1),"",($R52-$Q52)*24)</f>
        <v/>
      </c>
      <c r="N52" s="95"/>
      <c r="O52" s="96" t="str">
        <f aca="false">IF(OR($B52="",26&gt;$O$10),"",IF($AB52=1,"! CHECK LINK",IF($V52=1,"! CHECK DATES",IF($S52=1,IF($R52="","Completed",IF($R52&lt;$D52,"Completed - Ahead",IF($R52&lt;=$D52+1/1440,"Completed - On Time","Completed - Delayed"))),IF($Q52&lt;&gt;"",IF($Y52&lt;=0.1,"In Progress - On Track","In Progress - BEHIND"),IF($M$5&lt;$C52,"Not Started","NOT STARTED - LATE"))))))</f>
        <v>Not Started</v>
      </c>
      <c r="P52" s="97"/>
      <c r="Q52" s="0" t="str">
        <f aca="false">IF($I52="","",$I52+IF($J52="",0,$J52))</f>
        <v/>
      </c>
      <c r="R52" s="0" t="str">
        <f aca="false">IF($K52="","",$K52+IF($L52="",0,$L52))</f>
        <v/>
      </c>
      <c r="S52" s="4" t="n">
        <f aca="false">IF($V52=1,0,IF($R52&lt;&gt;"",1,IF($N52="",0,$N52)))</f>
        <v>0</v>
      </c>
      <c r="T52" s="4" t="n">
        <f aca="false">IF(OR($B52="",$E52=0),0,MEDIAN(0,($M$5-$C52)/($E52/24),1))</f>
        <v>0</v>
      </c>
      <c r="U52" s="4" t="n">
        <f aca="false">($S52-$T52)*$E52</f>
        <v>0</v>
      </c>
      <c r="V52" s="4" t="n">
        <f aca="false">IF(OR(AND($Q52&lt;&gt;"",$Q52&lt;$C$8),AND($Q52&lt;&gt;"",$R52&lt;&gt;"",$R52&lt;$Q52),AND($R52&lt;&gt;"",$Q52="")),1,0)</f>
        <v>0</v>
      </c>
      <c r="W52" s="98" t="n">
        <f aca="false">IF($B52="","",IF($S52=1,IF($R52&lt;&gt;"",$R52,$D52),IF($Q52&lt;&gt;"",MAX($M$5,$Q52)+$E52*(1-$S52)/24,MAX($M$5,$C52)+$E52/24)))</f>
        <v>46313.0416666667</v>
      </c>
      <c r="X52" s="4" t="n">
        <f aca="false">IF($B52="","",ROUND(($W52-$D52)*24,1))</f>
        <v>0</v>
      </c>
      <c r="Y52" s="4" t="n">
        <f aca="false">IF($B52="","",IF($Q52&lt;&gt;"",$X52,IF($X52&gt;0,MAX($X52,IF($Y51="",0,IF($Y51&gt;0,$Y51-MAX(0,($C52-$D51)*24),$Y51))),IF($Y51="",0,IF($Y51&gt;0,$Y51-MAX(0,($C52-$D51)*24),$Y51)))))</f>
        <v>18</v>
      </c>
      <c r="AB52" s="4" t="n">
        <f aca="false">IF(AND($B52&lt;&gt;"",$F52&gt;=26),1,0)</f>
        <v>0</v>
      </c>
    </row>
    <row r="53" customFormat="false" ht="19.5" hidden="false" customHeight="true" outlineLevel="0" collapsed="false">
      <c r="A53" s="99" t="s">
        <v>125</v>
      </c>
      <c r="B53" s="100" t="str">
        <f aca="false">IF($B$15="","",$B$15&amp;"   -   sum of activity hours")</f>
        <v>C263  –  KM 209+025   -   sum of activity hours</v>
      </c>
      <c r="C53" s="50"/>
      <c r="D53" s="101" t="n">
        <f aca="false">IF(COUNT($D27:$D52)=0,"",MAX($D27:$D52))</f>
        <v>46313.0416666667</v>
      </c>
      <c r="E53" s="102" t="n">
        <f aca="false">SUM($E27:$E52)</f>
        <v>51</v>
      </c>
      <c r="F53" s="50"/>
      <c r="G53" s="50"/>
      <c r="H53" s="50"/>
      <c r="I53" s="50"/>
      <c r="J53" s="50"/>
      <c r="K53" s="50"/>
      <c r="L53" s="50"/>
      <c r="M53" s="102" t="n">
        <f aca="false">SUM($M27:$M52)</f>
        <v>0</v>
      </c>
      <c r="N53" s="103" t="n">
        <f aca="false">$S53</f>
        <v>0</v>
      </c>
      <c r="O53" s="99" t="str">
        <f aca="false">IF($B$15="","",IF($X53&lt;=0,"ON TRACK","BEHIND"))</f>
        <v>BEHIND</v>
      </c>
      <c r="P53" s="50"/>
      <c r="S53" s="4" t="n">
        <f aca="false">IF($E53=0,0,SUMPRODUCT($E27:$E52,$S27:$S52)/$E53)</f>
        <v>0</v>
      </c>
      <c r="T53" s="4" t="n">
        <f aca="false">IF($E53=0,0,SUMPRODUCT($E27:$E52,$T27:$T52)/$E53)</f>
        <v>0.392156862745098</v>
      </c>
      <c r="U53" s="4" t="n">
        <f aca="false">$S53-$T53</f>
        <v>-0.392156862745098</v>
      </c>
      <c r="W53" s="98" t="n">
        <f aca="false">IF($D53="","",$D53+$X53/24)</f>
        <v>46313.7916666667</v>
      </c>
      <c r="X53" s="4" t="n">
        <f aca="false">IF(COUNT($Y27:$Y52)=0,0,LOOKUP(9.9E+307,$Y27:$Y52))</f>
        <v>18</v>
      </c>
    </row>
    <row r="55" customFormat="false" ht="24" hidden="false" customHeight="true" outlineLevel="0" collapsed="false">
      <c r="A55" s="83" t="str">
        <f aca="false">IF($B$16="","LOCATION 2  -  not used","   LOCATION 2  -  "&amp;$B$16)</f>
        <v>   LOCATION 2  -  C265  –  KM 210+525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</row>
    <row r="56" customFormat="false" ht="30" hidden="false" customHeight="true" outlineLevel="0" collapsed="false">
      <c r="A56" s="11" t="s">
        <v>24</v>
      </c>
      <c r="B56" s="11" t="s">
        <v>85</v>
      </c>
      <c r="C56" s="11" t="s">
        <v>86</v>
      </c>
      <c r="D56" s="11" t="s">
        <v>9</v>
      </c>
      <c r="E56" s="11" t="s">
        <v>87</v>
      </c>
      <c r="F56" s="11" t="s">
        <v>88</v>
      </c>
      <c r="G56" s="11" t="s">
        <v>89</v>
      </c>
      <c r="H56" s="11" t="s">
        <v>90</v>
      </c>
      <c r="I56" s="84" t="s">
        <v>91</v>
      </c>
      <c r="J56" s="84" t="s">
        <v>92</v>
      </c>
      <c r="K56" s="84" t="s">
        <v>93</v>
      </c>
      <c r="L56" s="84" t="s">
        <v>94</v>
      </c>
      <c r="M56" s="11" t="s">
        <v>95</v>
      </c>
      <c r="N56" s="84" t="s">
        <v>96</v>
      </c>
      <c r="O56" s="11" t="s">
        <v>97</v>
      </c>
      <c r="P56" s="84" t="s">
        <v>98</v>
      </c>
    </row>
    <row r="57" customFormat="false" ht="19.5" hidden="false" customHeight="true" outlineLevel="0" collapsed="false">
      <c r="A57" s="85" t="n">
        <f aca="false">IF(OR($B57="",1&gt;$O$10),"",1)</f>
        <v>1</v>
      </c>
      <c r="B57" s="86" t="s">
        <v>99</v>
      </c>
      <c r="C57" s="87" t="n">
        <f aca="true">IF(OR($B57="",1&gt;$O$10),"",IF($F57=0,$C$8,IF($G57="SS",OFFSET($C$56,$F57,0)+$H57/24,IF($G57="FF",OFFSET($D$56,$F57,0)+$H57/24-$E57/24,IF($G57="SF",OFFSET($C$56,$F57,0)+$H57/24-$E57/24,OFFSET($D$56,$F57,0)+$H57/24)))))</f>
        <v>46311</v>
      </c>
      <c r="D57" s="87" t="n">
        <f aca="false">IF(OR($B57="",1&gt;$O$10),"",$C57+$E57/24)</f>
        <v>46311.0416666667</v>
      </c>
      <c r="E57" s="88" t="n">
        <v>1</v>
      </c>
      <c r="F57" s="89" t="n">
        <v>0</v>
      </c>
      <c r="G57" s="90" t="s">
        <v>49</v>
      </c>
      <c r="H57" s="91" t="n">
        <v>0</v>
      </c>
      <c r="I57" s="92"/>
      <c r="J57" s="93"/>
      <c r="K57" s="92"/>
      <c r="L57" s="93"/>
      <c r="M57" s="94" t="str">
        <f aca="false">IF(OR($Q57="",$R57="",$V57=1),"",($R57-$Q57)*24)</f>
        <v/>
      </c>
      <c r="N57" s="95"/>
      <c r="O57" s="96" t="str">
        <f aca="false">IF(OR($B57="",1&gt;$O$10),"",IF($AB57=1,"! CHECK LINK",IF($V57=1,"! CHECK DATES",IF($S57=1,IF($R57="","Completed",IF($R57&lt;$D57,"Completed - Ahead",IF($R57&lt;=$D57+1/1440,"Completed - On Time","Completed - Delayed"))),IF($Q57&lt;&gt;"",IF($Y57&lt;=0.1,"In Progress - On Track","In Progress - BEHIND"),IF($M$5&lt;$C57,"Not Started","NOT STARTED - LATE"))))))</f>
        <v>NOT STARTED - LATE</v>
      </c>
      <c r="P57" s="97"/>
      <c r="Q57" s="0" t="str">
        <f aca="false">IF($I57="","",$I57+IF($J57="",0,$J57))</f>
        <v/>
      </c>
      <c r="R57" s="0" t="str">
        <f aca="false">IF($K57="","",$K57+IF($L57="",0,$L57))</f>
        <v/>
      </c>
      <c r="S57" s="4" t="n">
        <f aca="false">IF($V57=1,0,IF($R57&lt;&gt;"",1,IF($N57="",0,$N57)))</f>
        <v>0</v>
      </c>
      <c r="T57" s="4" t="n">
        <f aca="false">IF(OR($B57="",$E57=0),0,MEDIAN(0,($M$5-$C57)/($E57/24),1))</f>
        <v>1</v>
      </c>
      <c r="U57" s="4" t="n">
        <f aca="false">($S57-$T57)*$E57</f>
        <v>-1</v>
      </c>
      <c r="V57" s="4" t="n">
        <f aca="false">IF(OR(AND($Q57&lt;&gt;"",$Q57&lt;$C$8),AND($Q57&lt;&gt;"",$R57&lt;&gt;"",$R57&lt;$Q57),AND($R57&lt;&gt;"",$Q57="")),1,0)</f>
        <v>0</v>
      </c>
      <c r="W57" s="98" t="n">
        <f aca="false">IF($B57="","",IF($S57=1,IF($R57&lt;&gt;"",$R57,$D57),IF($Q57&lt;&gt;"",MAX($M$5,$Q57)+$E57*(1-$S57)/24,MAX($M$5,$C57)+$E57/24)))</f>
        <v>46311.7916666667</v>
      </c>
      <c r="X57" s="4" t="n">
        <f aca="false">IF($B57="","",ROUND(($W57-$D57)*24,1))</f>
        <v>18</v>
      </c>
      <c r="Y57" s="4" t="n">
        <f aca="false">IF($B57="","",$X57)</f>
        <v>18</v>
      </c>
      <c r="AB57" s="4" t="n">
        <f aca="false">IF(AND($B57&lt;&gt;"",$F57&gt;=1),1,0)</f>
        <v>0</v>
      </c>
    </row>
    <row r="58" customFormat="false" ht="19.5" hidden="false" customHeight="true" outlineLevel="0" collapsed="false">
      <c r="A58" s="85" t="n">
        <f aca="false">IF(OR($B58="",2&gt;$O$10),"",2)</f>
        <v>2</v>
      </c>
      <c r="B58" s="86" t="s">
        <v>100</v>
      </c>
      <c r="C58" s="87" t="n">
        <f aca="true">IF(OR($B58="",2&gt;$O$10),"",IF($F58=0,$C$8,IF($G58="SS",OFFSET($C$56,$F58,0)+$H58/24,IF($G58="FF",OFFSET($D$56,$F58,0)+$H58/24-$E58/24,IF($G58="SF",OFFSET($C$56,$F58,0)+$H58/24-$E58/24,OFFSET($D$56,$F58,0)+$H58/24)))))</f>
        <v>46311.0416666667</v>
      </c>
      <c r="D58" s="87" t="n">
        <f aca="false">IF(OR($B58="",2&gt;$O$10),"",$C58+$E58/24)</f>
        <v>46311.0833333333</v>
      </c>
      <c r="E58" s="88" t="n">
        <v>1</v>
      </c>
      <c r="F58" s="89" t="n">
        <v>1</v>
      </c>
      <c r="G58" s="90" t="s">
        <v>49</v>
      </c>
      <c r="H58" s="91" t="n">
        <v>0</v>
      </c>
      <c r="I58" s="92"/>
      <c r="J58" s="93"/>
      <c r="K58" s="92"/>
      <c r="L58" s="93"/>
      <c r="M58" s="94" t="str">
        <f aca="false">IF(OR($Q58="",$R58="",$V58=1),"",($R58-$Q58)*24)</f>
        <v/>
      </c>
      <c r="N58" s="95"/>
      <c r="O58" s="96" t="str">
        <f aca="false">IF(OR($B58="",2&gt;$O$10),"",IF($AB58=1,"! CHECK LINK",IF($V58=1,"! CHECK DATES",IF($S58=1,IF($R58="","Completed",IF($R58&lt;$D58,"Completed - Ahead",IF($R58&lt;=$D58+1/1440,"Completed - On Time","Completed - Delayed"))),IF($Q58&lt;&gt;"",IF($Y58&lt;=0.1,"In Progress - On Track","In Progress - BEHIND"),IF($M$5&lt;$C58,"Not Started","NOT STARTED - LATE"))))))</f>
        <v>NOT STARTED - LATE</v>
      </c>
      <c r="P58" s="97"/>
      <c r="Q58" s="0" t="str">
        <f aca="false">IF($I58="","",$I58+IF($J58="",0,$J58))</f>
        <v/>
      </c>
      <c r="R58" s="0" t="str">
        <f aca="false">IF($K58="","",$K58+IF($L58="",0,$L58))</f>
        <v/>
      </c>
      <c r="S58" s="4" t="n">
        <f aca="false">IF($V58=1,0,IF($R58&lt;&gt;"",1,IF($N58="",0,$N58)))</f>
        <v>0</v>
      </c>
      <c r="T58" s="4" t="n">
        <f aca="false">IF(OR($B58="",$E58=0),0,MEDIAN(0,($M$5-$C58)/($E58/24),1))</f>
        <v>1</v>
      </c>
      <c r="U58" s="4" t="n">
        <f aca="false">($S58-$T58)*$E58</f>
        <v>-1</v>
      </c>
      <c r="V58" s="4" t="n">
        <f aca="false">IF(OR(AND($Q58&lt;&gt;"",$Q58&lt;$C$8),AND($Q58&lt;&gt;"",$R58&lt;&gt;"",$R58&lt;$Q58),AND($R58&lt;&gt;"",$Q58="")),1,0)</f>
        <v>0</v>
      </c>
      <c r="W58" s="98" t="n">
        <f aca="false">IF($B58="","",IF($S58=1,IF($R58&lt;&gt;"",$R58,$D58),IF($Q58&lt;&gt;"",MAX($M$5,$Q58)+$E58*(1-$S58)/24,MAX($M$5,$C58)+$E58/24)))</f>
        <v>46311.7916666667</v>
      </c>
      <c r="X58" s="4" t="n">
        <f aca="false">IF($B58="","",ROUND(($W58-$D58)*24,1))</f>
        <v>17</v>
      </c>
      <c r="Y58" s="4" t="n">
        <f aca="false">IF($B58="","",IF($Q58&lt;&gt;"",$X58,IF($X58&gt;0,MAX($X58,IF($Y57="",0,IF($Y57&gt;0,$Y57-MAX(0,($C58-$D57)*24),$Y57))),IF($Y57="",0,IF($Y57&gt;0,$Y57-MAX(0,($C58-$D57)*24),$Y57)))))</f>
        <v>18</v>
      </c>
      <c r="AB58" s="4" t="n">
        <f aca="false">IF(AND($B58&lt;&gt;"",$F58&gt;=2),1,0)</f>
        <v>0</v>
      </c>
    </row>
    <row r="59" customFormat="false" ht="19.5" hidden="false" customHeight="true" outlineLevel="0" collapsed="false">
      <c r="A59" s="85" t="n">
        <f aca="false">IF(OR($B59="",3&gt;$O$10),"",3)</f>
        <v>3</v>
      </c>
      <c r="B59" s="86" t="s">
        <v>101</v>
      </c>
      <c r="C59" s="87" t="n">
        <f aca="true">IF(OR($B59="",3&gt;$O$10),"",IF($F59=0,$C$8,IF($G59="SS",OFFSET($C$56,$F59,0)+$H59/24,IF($G59="FF",OFFSET($D$56,$F59,0)+$H59/24-$E59/24,IF($G59="SF",OFFSET($C$56,$F59,0)+$H59/24-$E59/24,OFFSET($D$56,$F59,0)+$H59/24)))))</f>
        <v>46311</v>
      </c>
      <c r="D59" s="87" t="n">
        <f aca="false">IF(OR($B59="",3&gt;$O$10),"",$C59+$E59/24)</f>
        <v>46311.0416666667</v>
      </c>
      <c r="E59" s="88" t="n">
        <v>1</v>
      </c>
      <c r="F59" s="89" t="n">
        <v>1</v>
      </c>
      <c r="G59" s="90" t="s">
        <v>50</v>
      </c>
      <c r="H59" s="91" t="n">
        <v>0</v>
      </c>
      <c r="I59" s="92"/>
      <c r="J59" s="93"/>
      <c r="K59" s="92"/>
      <c r="L59" s="93"/>
      <c r="M59" s="94" t="str">
        <f aca="false">IF(OR($Q59="",$R59="",$V59=1),"",($R59-$Q59)*24)</f>
        <v/>
      </c>
      <c r="N59" s="95"/>
      <c r="O59" s="96" t="str">
        <f aca="false">IF(OR($B59="",3&gt;$O$10),"",IF($AB59=1,"! CHECK LINK",IF($V59=1,"! CHECK DATES",IF($S59=1,IF($R59="","Completed",IF($R59&lt;$D59,"Completed - Ahead",IF($R59&lt;=$D59+1/1440,"Completed - On Time","Completed - Delayed"))),IF($Q59&lt;&gt;"",IF($Y59&lt;=0.1,"In Progress - On Track","In Progress - BEHIND"),IF($M$5&lt;$C59,"Not Started","NOT STARTED - LATE"))))))</f>
        <v>NOT STARTED - LATE</v>
      </c>
      <c r="P59" s="97"/>
      <c r="Q59" s="0" t="str">
        <f aca="false">IF($I59="","",$I59+IF($J59="",0,$J59))</f>
        <v/>
      </c>
      <c r="R59" s="0" t="str">
        <f aca="false">IF($K59="","",$K59+IF($L59="",0,$L59))</f>
        <v/>
      </c>
      <c r="S59" s="4" t="n">
        <f aca="false">IF($V59=1,0,IF($R59&lt;&gt;"",1,IF($N59="",0,$N59)))</f>
        <v>0</v>
      </c>
      <c r="T59" s="4" t="n">
        <f aca="false">IF(OR($B59="",$E59=0),0,MEDIAN(0,($M$5-$C59)/($E59/24),1))</f>
        <v>1</v>
      </c>
      <c r="U59" s="4" t="n">
        <f aca="false">($S59-$T59)*$E59</f>
        <v>-1</v>
      </c>
      <c r="V59" s="4" t="n">
        <f aca="false">IF(OR(AND($Q59&lt;&gt;"",$Q59&lt;$C$8),AND($Q59&lt;&gt;"",$R59&lt;&gt;"",$R59&lt;$Q59),AND($R59&lt;&gt;"",$Q59="")),1,0)</f>
        <v>0</v>
      </c>
      <c r="W59" s="98" t="n">
        <f aca="false">IF($B59="","",IF($S59=1,IF($R59&lt;&gt;"",$R59,$D59),IF($Q59&lt;&gt;"",MAX($M$5,$Q59)+$E59*(1-$S59)/24,MAX($M$5,$C59)+$E59/24)))</f>
        <v>46311.7916666667</v>
      </c>
      <c r="X59" s="4" t="n">
        <f aca="false">IF($B59="","",ROUND(($W59-$D59)*24,1))</f>
        <v>18</v>
      </c>
      <c r="Y59" s="4" t="n">
        <f aca="false">IF($B59="","",IF($Q59&lt;&gt;"",$X59,IF($X59&gt;0,MAX($X59,IF($Y58="",0,IF($Y58&gt;0,$Y58-MAX(0,($C59-$D58)*24),$Y58))),IF($Y58="",0,IF($Y58&gt;0,$Y58-MAX(0,($C59-$D58)*24),$Y58)))))</f>
        <v>18</v>
      </c>
      <c r="AB59" s="4" t="n">
        <f aca="false">IF(AND($B59&lt;&gt;"",$F59&gt;=3),1,0)</f>
        <v>0</v>
      </c>
    </row>
    <row r="60" customFormat="false" ht="19.5" hidden="false" customHeight="true" outlineLevel="0" collapsed="false">
      <c r="A60" s="85" t="n">
        <f aca="false">IF(OR($B60="",4&gt;$O$10),"",4)</f>
        <v>4</v>
      </c>
      <c r="B60" s="86" t="s">
        <v>102</v>
      </c>
      <c r="C60" s="87" t="n">
        <f aca="true">IF(OR($B60="",4&gt;$O$10),"",IF($F60=0,$C$8,IF($G60="SS",OFFSET($C$56,$F60,0)+$H60/24,IF($G60="FF",OFFSET($D$56,$F60,0)+$H60/24-$E60/24,IF($G60="SF",OFFSET($C$56,$F60,0)+$H60/24-$E60/24,OFFSET($D$56,$F60,0)+$H60/24)))))</f>
        <v>46311.0416666667</v>
      </c>
      <c r="D60" s="87" t="n">
        <f aca="false">IF(OR($B60="",4&gt;$O$10),"",$C60+$E60/24)</f>
        <v>46311.0833333333</v>
      </c>
      <c r="E60" s="88" t="n">
        <v>1</v>
      </c>
      <c r="F60" s="89" t="n">
        <v>3</v>
      </c>
      <c r="G60" s="90" t="s">
        <v>49</v>
      </c>
      <c r="H60" s="91" t="n">
        <v>0</v>
      </c>
      <c r="I60" s="92"/>
      <c r="J60" s="93"/>
      <c r="K60" s="92"/>
      <c r="L60" s="93"/>
      <c r="M60" s="94" t="str">
        <f aca="false">IF(OR($Q60="",$R60="",$V60=1),"",($R60-$Q60)*24)</f>
        <v/>
      </c>
      <c r="N60" s="95"/>
      <c r="O60" s="96" t="str">
        <f aca="false">IF(OR($B60="",4&gt;$O$10),"",IF($AB60=1,"! CHECK LINK",IF($V60=1,"! CHECK DATES",IF($S60=1,IF($R60="","Completed",IF($R60&lt;$D60,"Completed - Ahead",IF($R60&lt;=$D60+1/1440,"Completed - On Time","Completed - Delayed"))),IF($Q60&lt;&gt;"",IF($Y60&lt;=0.1,"In Progress - On Track","In Progress - BEHIND"),IF($M$5&lt;$C60,"Not Started","NOT STARTED - LATE"))))))</f>
        <v>NOT STARTED - LATE</v>
      </c>
      <c r="P60" s="97"/>
      <c r="Q60" s="0" t="str">
        <f aca="false">IF($I60="","",$I60+IF($J60="",0,$J60))</f>
        <v/>
      </c>
      <c r="R60" s="0" t="str">
        <f aca="false">IF($K60="","",$K60+IF($L60="",0,$L60))</f>
        <v/>
      </c>
      <c r="S60" s="4" t="n">
        <f aca="false">IF($V60=1,0,IF($R60&lt;&gt;"",1,IF($N60="",0,$N60)))</f>
        <v>0</v>
      </c>
      <c r="T60" s="4" t="n">
        <f aca="false">IF(OR($B60="",$E60=0),0,MEDIAN(0,($M$5-$C60)/($E60/24),1))</f>
        <v>1</v>
      </c>
      <c r="U60" s="4" t="n">
        <f aca="false">($S60-$T60)*$E60</f>
        <v>-1</v>
      </c>
      <c r="V60" s="4" t="n">
        <f aca="false">IF(OR(AND($Q60&lt;&gt;"",$Q60&lt;$C$8),AND($Q60&lt;&gt;"",$R60&lt;&gt;"",$R60&lt;$Q60),AND($R60&lt;&gt;"",$Q60="")),1,0)</f>
        <v>0</v>
      </c>
      <c r="W60" s="98" t="n">
        <f aca="false">IF($B60="","",IF($S60=1,IF($R60&lt;&gt;"",$R60,$D60),IF($Q60&lt;&gt;"",MAX($M$5,$Q60)+$E60*(1-$S60)/24,MAX($M$5,$C60)+$E60/24)))</f>
        <v>46311.7916666667</v>
      </c>
      <c r="X60" s="4" t="n">
        <f aca="false">IF($B60="","",ROUND(($W60-$D60)*24,1))</f>
        <v>17</v>
      </c>
      <c r="Y60" s="4" t="n">
        <f aca="false">IF($B60="","",IF($Q60&lt;&gt;"",$X60,IF($X60&gt;0,MAX($X60,IF($Y59="",0,IF($Y59&gt;0,$Y59-MAX(0,($C60-$D59)*24),$Y59))),IF($Y59="",0,IF($Y59&gt;0,$Y59-MAX(0,($C60-$D59)*24),$Y59)))))</f>
        <v>18</v>
      </c>
      <c r="AB60" s="4" t="n">
        <f aca="false">IF(AND($B60&lt;&gt;"",$F60&gt;=4),1,0)</f>
        <v>0</v>
      </c>
    </row>
    <row r="61" customFormat="false" ht="19.5" hidden="false" customHeight="true" outlineLevel="0" collapsed="false">
      <c r="A61" s="85" t="n">
        <f aca="false">IF(OR($B61="",5&gt;$O$10),"",5)</f>
        <v>5</v>
      </c>
      <c r="B61" s="86" t="s">
        <v>103</v>
      </c>
      <c r="C61" s="87" t="n">
        <f aca="true">IF(OR($B61="",5&gt;$O$10),"",IF($F61=0,$C$8,IF($G61="SS",OFFSET($C$56,$F61,0)+$H61/24,IF($G61="FF",OFFSET($D$56,$F61,0)+$H61/24-$E61/24,IF($G61="SF",OFFSET($C$56,$F61,0)+$H61/24-$E61/24,OFFSET($D$56,$F61,0)+$H61/24)))))</f>
        <v>46311.0833333333</v>
      </c>
      <c r="D61" s="87" t="n">
        <f aca="false">IF(OR($B61="",5&gt;$O$10),"",$C61+$E61/24)</f>
        <v>46311.1666666667</v>
      </c>
      <c r="E61" s="88" t="n">
        <v>2</v>
      </c>
      <c r="F61" s="89" t="n">
        <v>4</v>
      </c>
      <c r="G61" s="90" t="s">
        <v>49</v>
      </c>
      <c r="H61" s="91" t="n">
        <v>0</v>
      </c>
      <c r="I61" s="92"/>
      <c r="J61" s="93"/>
      <c r="K61" s="92"/>
      <c r="L61" s="93"/>
      <c r="M61" s="94" t="str">
        <f aca="false">IF(OR($Q61="",$R61="",$V61=1),"",($R61-$Q61)*24)</f>
        <v/>
      </c>
      <c r="N61" s="95"/>
      <c r="O61" s="96" t="str">
        <f aca="false">IF(OR($B61="",5&gt;$O$10),"",IF($AB61=1,"! CHECK LINK",IF($V61=1,"! CHECK DATES",IF($S61=1,IF($R61="","Completed",IF($R61&lt;$D61,"Completed - Ahead",IF($R61&lt;=$D61+1/1440,"Completed - On Time","Completed - Delayed"))),IF($Q61&lt;&gt;"",IF($Y61&lt;=0.1,"In Progress - On Track","In Progress - BEHIND"),IF($M$5&lt;$C61,"Not Started","NOT STARTED - LATE"))))))</f>
        <v>NOT STARTED - LATE</v>
      </c>
      <c r="P61" s="97"/>
      <c r="Q61" s="0" t="str">
        <f aca="false">IF($I61="","",$I61+IF($J61="",0,$J61))</f>
        <v/>
      </c>
      <c r="R61" s="0" t="str">
        <f aca="false">IF($K61="","",$K61+IF($L61="",0,$L61))</f>
        <v/>
      </c>
      <c r="S61" s="4" t="n">
        <f aca="false">IF($V61=1,0,IF($R61&lt;&gt;"",1,IF($N61="",0,$N61)))</f>
        <v>0</v>
      </c>
      <c r="T61" s="4" t="n">
        <f aca="false">IF(OR($B61="",$E61=0),0,MEDIAN(0,($M$5-$C61)/($E61/24),1))</f>
        <v>1</v>
      </c>
      <c r="U61" s="4" t="n">
        <f aca="false">($S61-$T61)*$E61</f>
        <v>-2</v>
      </c>
      <c r="V61" s="4" t="n">
        <f aca="false">IF(OR(AND($Q61&lt;&gt;"",$Q61&lt;$C$8),AND($Q61&lt;&gt;"",$R61&lt;&gt;"",$R61&lt;$Q61),AND($R61&lt;&gt;"",$Q61="")),1,0)</f>
        <v>0</v>
      </c>
      <c r="W61" s="98" t="n">
        <f aca="false">IF($B61="","",IF($S61=1,IF($R61&lt;&gt;"",$R61,$D61),IF($Q61&lt;&gt;"",MAX($M$5,$Q61)+$E61*(1-$S61)/24,MAX($M$5,$C61)+$E61/24)))</f>
        <v>46311.8333333333</v>
      </c>
      <c r="X61" s="4" t="n">
        <f aca="false">IF($B61="","",ROUND(($W61-$D61)*24,1))</f>
        <v>16</v>
      </c>
      <c r="Y61" s="4" t="n">
        <f aca="false">IF($B61="","",IF($Q61&lt;&gt;"",$X61,IF($X61&gt;0,MAX($X61,IF($Y60="",0,IF($Y60&gt;0,$Y60-MAX(0,($C61-$D60)*24),$Y60))),IF($Y60="",0,IF($Y60&gt;0,$Y60-MAX(0,($C61-$D60)*24),$Y60)))))</f>
        <v>18</v>
      </c>
      <c r="AB61" s="4" t="n">
        <f aca="false">IF(AND($B61&lt;&gt;"",$F61&gt;=5),1,0)</f>
        <v>0</v>
      </c>
    </row>
    <row r="62" customFormat="false" ht="19.5" hidden="false" customHeight="true" outlineLevel="0" collapsed="false">
      <c r="A62" s="85" t="n">
        <f aca="false">IF(OR($B62="",6&gt;$O$10),"",6)</f>
        <v>6</v>
      </c>
      <c r="B62" s="86" t="s">
        <v>104</v>
      </c>
      <c r="C62" s="87" t="n">
        <f aca="true">IF(OR($B62="",6&gt;$O$10),"",IF($F62=0,$C$8,IF($G62="SS",OFFSET($C$56,$F62,0)+$H62/24,IF($G62="FF",OFFSET($D$56,$F62,0)+$H62/24-$E62/24,IF($G62="SF",OFFSET($C$56,$F62,0)+$H62/24-$E62/24,OFFSET($D$56,$F62,0)+$H62/24)))))</f>
        <v>46311.1666666667</v>
      </c>
      <c r="D62" s="87" t="n">
        <f aca="false">IF(OR($B62="",6&gt;$O$10),"",$C62+$E62/24)</f>
        <v>46311.25</v>
      </c>
      <c r="E62" s="88" t="n">
        <v>2</v>
      </c>
      <c r="F62" s="89" t="n">
        <v>5</v>
      </c>
      <c r="G62" s="90" t="s">
        <v>49</v>
      </c>
      <c r="H62" s="91" t="n">
        <v>0</v>
      </c>
      <c r="I62" s="92"/>
      <c r="J62" s="93"/>
      <c r="K62" s="92"/>
      <c r="L62" s="93"/>
      <c r="M62" s="94" t="str">
        <f aca="false">IF(OR($Q62="",$R62="",$V62=1),"",($R62-$Q62)*24)</f>
        <v/>
      </c>
      <c r="N62" s="95"/>
      <c r="O62" s="96" t="str">
        <f aca="false">IF(OR($B62="",6&gt;$O$10),"",IF($AB62=1,"! CHECK LINK",IF($V62=1,"! CHECK DATES",IF($S62=1,IF($R62="","Completed",IF($R62&lt;$D62,"Completed - Ahead",IF($R62&lt;=$D62+1/1440,"Completed - On Time","Completed - Delayed"))),IF($Q62&lt;&gt;"",IF($Y62&lt;=0.1,"In Progress - On Track","In Progress - BEHIND"),IF($M$5&lt;$C62,"Not Started","NOT STARTED - LATE"))))))</f>
        <v>NOT STARTED - LATE</v>
      </c>
      <c r="P62" s="97"/>
      <c r="Q62" s="0" t="str">
        <f aca="false">IF($I62="","",$I62+IF($J62="",0,$J62))</f>
        <v/>
      </c>
      <c r="R62" s="0" t="str">
        <f aca="false">IF($K62="","",$K62+IF($L62="",0,$L62))</f>
        <v/>
      </c>
      <c r="S62" s="4" t="n">
        <f aca="false">IF($V62=1,0,IF($R62&lt;&gt;"",1,IF($N62="",0,$N62)))</f>
        <v>0</v>
      </c>
      <c r="T62" s="4" t="n">
        <f aca="false">IF(OR($B62="",$E62=0),0,MEDIAN(0,($M$5-$C62)/($E62/24),1))</f>
        <v>1</v>
      </c>
      <c r="U62" s="4" t="n">
        <f aca="false">($S62-$T62)*$E62</f>
        <v>-2</v>
      </c>
      <c r="V62" s="4" t="n">
        <f aca="false">IF(OR(AND($Q62&lt;&gt;"",$Q62&lt;$C$8),AND($Q62&lt;&gt;"",$R62&lt;&gt;"",$R62&lt;$Q62),AND($R62&lt;&gt;"",$Q62="")),1,0)</f>
        <v>0</v>
      </c>
      <c r="W62" s="98" t="n">
        <f aca="false">IF($B62="","",IF($S62=1,IF($R62&lt;&gt;"",$R62,$D62),IF($Q62&lt;&gt;"",MAX($M$5,$Q62)+$E62*(1-$S62)/24,MAX($M$5,$C62)+$E62/24)))</f>
        <v>46311.8333333333</v>
      </c>
      <c r="X62" s="4" t="n">
        <f aca="false">IF($B62="","",ROUND(($W62-$D62)*24,1))</f>
        <v>14</v>
      </c>
      <c r="Y62" s="4" t="n">
        <f aca="false">IF($B62="","",IF($Q62&lt;&gt;"",$X62,IF($X62&gt;0,MAX($X62,IF($Y61="",0,IF($Y61&gt;0,$Y61-MAX(0,($C62-$D61)*24),$Y61))),IF($Y61="",0,IF($Y61&gt;0,$Y61-MAX(0,($C62-$D61)*24),$Y61)))))</f>
        <v>18</v>
      </c>
      <c r="AB62" s="4" t="n">
        <f aca="false">IF(AND($B62&lt;&gt;"",$F62&gt;=6),1,0)</f>
        <v>0</v>
      </c>
    </row>
    <row r="63" customFormat="false" ht="19.5" hidden="false" customHeight="true" outlineLevel="0" collapsed="false">
      <c r="A63" s="85" t="n">
        <f aca="false">IF(OR($B63="",7&gt;$O$10),"",7)</f>
        <v>7</v>
      </c>
      <c r="B63" s="86" t="s">
        <v>105</v>
      </c>
      <c r="C63" s="87" t="n">
        <f aca="true">IF(OR($B63="",7&gt;$O$10),"",IF($F63=0,$C$8,IF($G63="SS",OFFSET($C$56,$F63,0)+$H63/24,IF($G63="FF",OFFSET($D$56,$F63,0)+$H63/24-$E63/24,IF($G63="SF",OFFSET($C$56,$F63,0)+$H63/24-$E63/24,OFFSET($D$56,$F63,0)+$H63/24)))))</f>
        <v>46311.25</v>
      </c>
      <c r="D63" s="87" t="n">
        <f aca="false">IF(OR($B63="",7&gt;$O$10),"",$C63+$E63/24)</f>
        <v>46311.3333333333</v>
      </c>
      <c r="E63" s="88" t="n">
        <v>2</v>
      </c>
      <c r="F63" s="89" t="n">
        <v>6</v>
      </c>
      <c r="G63" s="90" t="s">
        <v>49</v>
      </c>
      <c r="H63" s="91" t="n">
        <v>0</v>
      </c>
      <c r="I63" s="92"/>
      <c r="J63" s="93"/>
      <c r="K63" s="92"/>
      <c r="L63" s="93"/>
      <c r="M63" s="94" t="str">
        <f aca="false">IF(OR($Q63="",$R63="",$V63=1),"",($R63-$Q63)*24)</f>
        <v/>
      </c>
      <c r="N63" s="95"/>
      <c r="O63" s="96" t="str">
        <f aca="false">IF(OR($B63="",7&gt;$O$10),"",IF($AB63=1,"! CHECK LINK",IF($V63=1,"! CHECK DATES",IF($S63=1,IF($R63="","Completed",IF($R63&lt;$D63,"Completed - Ahead",IF($R63&lt;=$D63+1/1440,"Completed - On Time","Completed - Delayed"))),IF($Q63&lt;&gt;"",IF($Y63&lt;=0.1,"In Progress - On Track","In Progress - BEHIND"),IF($M$5&lt;$C63,"Not Started","NOT STARTED - LATE"))))))</f>
        <v>NOT STARTED - LATE</v>
      </c>
      <c r="P63" s="97"/>
      <c r="Q63" s="0" t="str">
        <f aca="false">IF($I63="","",$I63+IF($J63="",0,$J63))</f>
        <v/>
      </c>
      <c r="R63" s="0" t="str">
        <f aca="false">IF($K63="","",$K63+IF($L63="",0,$L63))</f>
        <v/>
      </c>
      <c r="S63" s="4" t="n">
        <f aca="false">IF($V63=1,0,IF($R63&lt;&gt;"",1,IF($N63="",0,$N63)))</f>
        <v>0</v>
      </c>
      <c r="T63" s="4" t="n">
        <f aca="false">IF(OR($B63="",$E63=0),0,MEDIAN(0,($M$5-$C63)/($E63/24),1))</f>
        <v>1</v>
      </c>
      <c r="U63" s="4" t="n">
        <f aca="false">($S63-$T63)*$E63</f>
        <v>-2</v>
      </c>
      <c r="V63" s="4" t="n">
        <f aca="false">IF(OR(AND($Q63&lt;&gt;"",$Q63&lt;$C$8),AND($Q63&lt;&gt;"",$R63&lt;&gt;"",$R63&lt;$Q63),AND($R63&lt;&gt;"",$Q63="")),1,0)</f>
        <v>0</v>
      </c>
      <c r="W63" s="98" t="n">
        <f aca="false">IF($B63="","",IF($S63=1,IF($R63&lt;&gt;"",$R63,$D63),IF($Q63&lt;&gt;"",MAX($M$5,$Q63)+$E63*(1-$S63)/24,MAX($M$5,$C63)+$E63/24)))</f>
        <v>46311.8333333333</v>
      </c>
      <c r="X63" s="4" t="n">
        <f aca="false">IF($B63="","",ROUND(($W63-$D63)*24,1))</f>
        <v>12</v>
      </c>
      <c r="Y63" s="4" t="n">
        <f aca="false">IF($B63="","",IF($Q63&lt;&gt;"",$X63,IF($X63&gt;0,MAX($X63,IF($Y62="",0,IF($Y62&gt;0,$Y62-MAX(0,($C63-$D62)*24),$Y62))),IF($Y62="",0,IF($Y62&gt;0,$Y62-MAX(0,($C63-$D62)*24),$Y62)))))</f>
        <v>18</v>
      </c>
      <c r="AB63" s="4" t="n">
        <f aca="false">IF(AND($B63&lt;&gt;"",$F63&gt;=7),1,0)</f>
        <v>0</v>
      </c>
    </row>
    <row r="64" customFormat="false" ht="19.5" hidden="false" customHeight="true" outlineLevel="0" collapsed="false">
      <c r="A64" s="85" t="n">
        <f aca="false">IF(OR($B64="",8&gt;$O$10),"",8)</f>
        <v>8</v>
      </c>
      <c r="B64" s="86" t="s">
        <v>106</v>
      </c>
      <c r="C64" s="87" t="n">
        <f aca="true">IF(OR($B64="",8&gt;$O$10),"",IF($F64=0,$C$8,IF($G64="SS",OFFSET($C$56,$F64,0)+$H64/24,IF($G64="FF",OFFSET($D$56,$F64,0)+$H64/24-$E64/24,IF($G64="SF",OFFSET($C$56,$F64,0)+$H64/24-$E64/24,OFFSET($D$56,$F64,0)+$H64/24)))))</f>
        <v>46311.3333333333</v>
      </c>
      <c r="D64" s="87" t="n">
        <f aca="false">IF(OR($B64="",8&gt;$O$10),"",$C64+$E64/24)</f>
        <v>46311.4583333333</v>
      </c>
      <c r="E64" s="88" t="n">
        <v>3</v>
      </c>
      <c r="F64" s="89" t="n">
        <v>7</v>
      </c>
      <c r="G64" s="90" t="s">
        <v>49</v>
      </c>
      <c r="H64" s="91" t="n">
        <v>0</v>
      </c>
      <c r="I64" s="92"/>
      <c r="J64" s="93"/>
      <c r="K64" s="92"/>
      <c r="L64" s="93"/>
      <c r="M64" s="94" t="str">
        <f aca="false">IF(OR($Q64="",$R64="",$V64=1),"",($R64-$Q64)*24)</f>
        <v/>
      </c>
      <c r="N64" s="95"/>
      <c r="O64" s="96" t="str">
        <f aca="false">IF(OR($B64="",8&gt;$O$10),"",IF($AB64=1,"! CHECK LINK",IF($V64=1,"! CHECK DATES",IF($S64=1,IF($R64="","Completed",IF($R64&lt;$D64,"Completed - Ahead",IF($R64&lt;=$D64+1/1440,"Completed - On Time","Completed - Delayed"))),IF($Q64&lt;&gt;"",IF($Y64&lt;=0.1,"In Progress - On Track","In Progress - BEHIND"),IF($M$5&lt;$C64,"Not Started","NOT STARTED - LATE"))))))</f>
        <v>NOT STARTED - LATE</v>
      </c>
      <c r="P64" s="97"/>
      <c r="Q64" s="0" t="str">
        <f aca="false">IF($I64="","",$I64+IF($J64="",0,$J64))</f>
        <v/>
      </c>
      <c r="R64" s="0" t="str">
        <f aca="false">IF($K64="","",$K64+IF($L64="",0,$L64))</f>
        <v/>
      </c>
      <c r="S64" s="4" t="n">
        <f aca="false">IF($V64=1,0,IF($R64&lt;&gt;"",1,IF($N64="",0,$N64)))</f>
        <v>0</v>
      </c>
      <c r="T64" s="4" t="n">
        <f aca="false">IF(OR($B64="",$E64=0),0,MEDIAN(0,($M$5-$C64)/($E64/24),1))</f>
        <v>1</v>
      </c>
      <c r="U64" s="4" t="n">
        <f aca="false">($S64-$T64)*$E64</f>
        <v>-3</v>
      </c>
      <c r="V64" s="4" t="n">
        <f aca="false">IF(OR(AND($Q64&lt;&gt;"",$Q64&lt;$C$8),AND($Q64&lt;&gt;"",$R64&lt;&gt;"",$R64&lt;$Q64),AND($R64&lt;&gt;"",$Q64="")),1,0)</f>
        <v>0</v>
      </c>
      <c r="W64" s="98" t="n">
        <f aca="false">IF($B64="","",IF($S64=1,IF($R64&lt;&gt;"",$R64,$D64),IF($Q64&lt;&gt;"",MAX($M$5,$Q64)+$E64*(1-$S64)/24,MAX($M$5,$C64)+$E64/24)))</f>
        <v>46311.875</v>
      </c>
      <c r="X64" s="4" t="n">
        <f aca="false">IF($B64="","",ROUND(($W64-$D64)*24,1))</f>
        <v>10</v>
      </c>
      <c r="Y64" s="4" t="n">
        <f aca="false">IF($B64="","",IF($Q64&lt;&gt;"",$X64,IF($X64&gt;0,MAX($X64,IF($Y63="",0,IF($Y63&gt;0,$Y63-MAX(0,($C64-$D63)*24),$Y63))),IF($Y63="",0,IF($Y63&gt;0,$Y63-MAX(0,($C64-$D63)*24),$Y63)))))</f>
        <v>18</v>
      </c>
      <c r="AB64" s="4" t="n">
        <f aca="false">IF(AND($B64&lt;&gt;"",$F64&gt;=8),1,0)</f>
        <v>0</v>
      </c>
    </row>
    <row r="65" customFormat="false" ht="19.5" hidden="false" customHeight="true" outlineLevel="0" collapsed="false">
      <c r="A65" s="85" t="n">
        <f aca="false">IF(OR($B65="",9&gt;$O$10),"",9)</f>
        <v>9</v>
      </c>
      <c r="B65" s="86" t="s">
        <v>107</v>
      </c>
      <c r="C65" s="87" t="n">
        <f aca="true">IF(OR($B65="",9&gt;$O$10),"",IF($F65=0,$C$8,IF($G65="SS",OFFSET($C$56,$F65,0)+$H65/24,IF($G65="FF",OFFSET($D$56,$F65,0)+$H65/24-$E65/24,IF($G65="SF",OFFSET($C$56,$F65,0)+$H65/24-$E65/24,OFFSET($D$56,$F65,0)+$H65/24)))))</f>
        <v>46311.4583333333</v>
      </c>
      <c r="D65" s="87" t="n">
        <f aca="false">IF(OR($B65="",9&gt;$O$10),"",$C65+$E65/24)</f>
        <v>46311.5</v>
      </c>
      <c r="E65" s="88" t="n">
        <v>1</v>
      </c>
      <c r="F65" s="89" t="n">
        <v>8</v>
      </c>
      <c r="G65" s="90" t="s">
        <v>49</v>
      </c>
      <c r="H65" s="91" t="n">
        <v>0</v>
      </c>
      <c r="I65" s="92"/>
      <c r="J65" s="93"/>
      <c r="K65" s="92"/>
      <c r="L65" s="93"/>
      <c r="M65" s="94" t="str">
        <f aca="false">IF(OR($Q65="",$R65="",$V65=1),"",($R65-$Q65)*24)</f>
        <v/>
      </c>
      <c r="N65" s="95"/>
      <c r="O65" s="96" t="str">
        <f aca="false">IF(OR($B65="",9&gt;$O$10),"",IF($AB65=1,"! CHECK LINK",IF($V65=1,"! CHECK DATES",IF($S65=1,IF($R65="","Completed",IF($R65&lt;$D65,"Completed - Ahead",IF($R65&lt;=$D65+1/1440,"Completed - On Time","Completed - Delayed"))),IF($Q65&lt;&gt;"",IF($Y65&lt;=0.1,"In Progress - On Track","In Progress - BEHIND"),IF($M$5&lt;$C65,"Not Started","NOT STARTED - LATE"))))))</f>
        <v>NOT STARTED - LATE</v>
      </c>
      <c r="P65" s="97"/>
      <c r="Q65" s="0" t="str">
        <f aca="false">IF($I65="","",$I65+IF($J65="",0,$J65))</f>
        <v/>
      </c>
      <c r="R65" s="0" t="str">
        <f aca="false">IF($K65="","",$K65+IF($L65="",0,$L65))</f>
        <v/>
      </c>
      <c r="S65" s="4" t="n">
        <f aca="false">IF($V65=1,0,IF($R65&lt;&gt;"",1,IF($N65="",0,$N65)))</f>
        <v>0</v>
      </c>
      <c r="T65" s="4" t="n">
        <f aca="false">IF(OR($B65="",$E65=0),0,MEDIAN(0,($M$5-$C65)/($E65/24),1))</f>
        <v>1</v>
      </c>
      <c r="U65" s="4" t="n">
        <f aca="false">($S65-$T65)*$E65</f>
        <v>-1</v>
      </c>
      <c r="V65" s="4" t="n">
        <f aca="false">IF(OR(AND($Q65&lt;&gt;"",$Q65&lt;$C$8),AND($Q65&lt;&gt;"",$R65&lt;&gt;"",$R65&lt;$Q65),AND($R65&lt;&gt;"",$Q65="")),1,0)</f>
        <v>0</v>
      </c>
      <c r="W65" s="98" t="n">
        <f aca="false">IF($B65="","",IF($S65=1,IF($R65&lt;&gt;"",$R65,$D65),IF($Q65&lt;&gt;"",MAX($M$5,$Q65)+$E65*(1-$S65)/24,MAX($M$5,$C65)+$E65/24)))</f>
        <v>46311.7916666667</v>
      </c>
      <c r="X65" s="4" t="n">
        <f aca="false">IF($B65="","",ROUND(($W65-$D65)*24,1))</f>
        <v>7</v>
      </c>
      <c r="Y65" s="4" t="n">
        <f aca="false">IF($B65="","",IF($Q65&lt;&gt;"",$X65,IF($X65&gt;0,MAX($X65,IF($Y64="",0,IF($Y64&gt;0,$Y64-MAX(0,($C65-$D64)*24),$Y64))),IF($Y64="",0,IF($Y64&gt;0,$Y64-MAX(0,($C65-$D64)*24),$Y64)))))</f>
        <v>18</v>
      </c>
      <c r="AB65" s="4" t="n">
        <f aca="false">IF(AND($B65&lt;&gt;"",$F65&gt;=9),1,0)</f>
        <v>0</v>
      </c>
    </row>
    <row r="66" customFormat="false" ht="19.5" hidden="false" customHeight="true" outlineLevel="0" collapsed="false">
      <c r="A66" s="85" t="n">
        <f aca="false">IF(OR($B66="",10&gt;$O$10),"",10)</f>
        <v>10</v>
      </c>
      <c r="B66" s="86" t="s">
        <v>108</v>
      </c>
      <c r="C66" s="87" t="n">
        <f aca="true">IF(OR($B66="",10&gt;$O$10),"",IF($F66=0,$C$8,IF($G66="SS",OFFSET($C$56,$F66,0)+$H66/24,IF($G66="FF",OFFSET($D$56,$F66,0)+$H66/24-$E66/24,IF($G66="SF",OFFSET($C$56,$F66,0)+$H66/24-$E66/24,OFFSET($D$56,$F66,0)+$H66/24)))))</f>
        <v>46311.5</v>
      </c>
      <c r="D66" s="87" t="n">
        <f aca="false">IF(OR($B66="",10&gt;$O$10),"",$C66+$E66/24)</f>
        <v>46311.625</v>
      </c>
      <c r="E66" s="88" t="n">
        <v>3</v>
      </c>
      <c r="F66" s="89" t="n">
        <v>9</v>
      </c>
      <c r="G66" s="90" t="s">
        <v>49</v>
      </c>
      <c r="H66" s="91" t="n">
        <v>0</v>
      </c>
      <c r="I66" s="92"/>
      <c r="J66" s="93"/>
      <c r="K66" s="92"/>
      <c r="L66" s="93"/>
      <c r="M66" s="94" t="str">
        <f aca="false">IF(OR($Q66="",$R66="",$V66=1),"",($R66-$Q66)*24)</f>
        <v/>
      </c>
      <c r="N66" s="95"/>
      <c r="O66" s="96" t="str">
        <f aca="false">IF(OR($B66="",10&gt;$O$10),"",IF($AB66=1,"! CHECK LINK",IF($V66=1,"! CHECK DATES",IF($S66=1,IF($R66="","Completed",IF($R66&lt;$D66,"Completed - Ahead",IF($R66&lt;=$D66+1/1440,"Completed - On Time","Completed - Delayed"))),IF($Q66&lt;&gt;"",IF($Y66&lt;=0.1,"In Progress - On Track","In Progress - BEHIND"),IF($M$5&lt;$C66,"Not Started","NOT STARTED - LATE"))))))</f>
        <v>NOT STARTED - LATE</v>
      </c>
      <c r="P66" s="97"/>
      <c r="Q66" s="0" t="str">
        <f aca="false">IF($I66="","",$I66+IF($J66="",0,$J66))</f>
        <v/>
      </c>
      <c r="R66" s="0" t="str">
        <f aca="false">IF($K66="","",$K66+IF($L66="",0,$L66))</f>
        <v/>
      </c>
      <c r="S66" s="4" t="n">
        <f aca="false">IF($V66=1,0,IF($R66&lt;&gt;"",1,IF($N66="",0,$N66)))</f>
        <v>0</v>
      </c>
      <c r="T66" s="4" t="n">
        <f aca="false">IF(OR($B66="",$E66=0),0,MEDIAN(0,($M$5-$C66)/($E66/24),1))</f>
        <v>1</v>
      </c>
      <c r="U66" s="4" t="n">
        <f aca="false">($S66-$T66)*$E66</f>
        <v>-3</v>
      </c>
      <c r="V66" s="4" t="n">
        <f aca="false">IF(OR(AND($Q66&lt;&gt;"",$Q66&lt;$C$8),AND($Q66&lt;&gt;"",$R66&lt;&gt;"",$R66&lt;$Q66),AND($R66&lt;&gt;"",$Q66="")),1,0)</f>
        <v>0</v>
      </c>
      <c r="W66" s="98" t="n">
        <f aca="false">IF($B66="","",IF($S66=1,IF($R66&lt;&gt;"",$R66,$D66),IF($Q66&lt;&gt;"",MAX($M$5,$Q66)+$E66*(1-$S66)/24,MAX($M$5,$C66)+$E66/24)))</f>
        <v>46311.875</v>
      </c>
      <c r="X66" s="4" t="n">
        <f aca="false">IF($B66="","",ROUND(($W66-$D66)*24,1))</f>
        <v>6</v>
      </c>
      <c r="Y66" s="4" t="n">
        <f aca="false">IF($B66="","",IF($Q66&lt;&gt;"",$X66,IF($X66&gt;0,MAX($X66,IF($Y65="",0,IF($Y65&gt;0,$Y65-MAX(0,($C66-$D65)*24),$Y65))),IF($Y65="",0,IF($Y65&gt;0,$Y65-MAX(0,($C66-$D65)*24),$Y65)))))</f>
        <v>18</v>
      </c>
      <c r="AB66" s="4" t="n">
        <f aca="false">IF(AND($B66&lt;&gt;"",$F66&gt;=10),1,0)</f>
        <v>0</v>
      </c>
    </row>
    <row r="67" customFormat="false" ht="19.5" hidden="false" customHeight="true" outlineLevel="0" collapsed="false">
      <c r="A67" s="85" t="n">
        <f aca="false">IF(OR($B67="",11&gt;$O$10),"",11)</f>
        <v>11</v>
      </c>
      <c r="B67" s="86" t="s">
        <v>109</v>
      </c>
      <c r="C67" s="87" t="n">
        <f aca="true">IF(OR($B67="",11&gt;$O$10),"",IF($F67=0,$C$8,IF($G67="SS",OFFSET($C$56,$F67,0)+$H67/24,IF($G67="FF",OFFSET($D$56,$F67,0)+$H67/24-$E67/24,IF($G67="SF",OFFSET($C$56,$F67,0)+$H67/24-$E67/24,OFFSET($D$56,$F67,0)+$H67/24)))))</f>
        <v>46311.625</v>
      </c>
      <c r="D67" s="87" t="n">
        <f aca="false">IF(OR($B67="",11&gt;$O$10),"",$C67+$E67/24)</f>
        <v>46311.6666666667</v>
      </c>
      <c r="E67" s="88" t="n">
        <v>1</v>
      </c>
      <c r="F67" s="89" t="n">
        <v>10</v>
      </c>
      <c r="G67" s="90" t="s">
        <v>49</v>
      </c>
      <c r="H67" s="91" t="n">
        <v>0</v>
      </c>
      <c r="I67" s="92"/>
      <c r="J67" s="93"/>
      <c r="K67" s="92"/>
      <c r="L67" s="93"/>
      <c r="M67" s="94" t="str">
        <f aca="false">IF(OR($Q67="",$R67="",$V67=1),"",($R67-$Q67)*24)</f>
        <v/>
      </c>
      <c r="N67" s="95"/>
      <c r="O67" s="96" t="str">
        <f aca="false">IF(OR($B67="",11&gt;$O$10),"",IF($AB67=1,"! CHECK LINK",IF($V67=1,"! CHECK DATES",IF($S67=1,IF($R67="","Completed",IF($R67&lt;$D67,"Completed - Ahead",IF($R67&lt;=$D67+1/1440,"Completed - On Time","Completed - Delayed"))),IF($Q67&lt;&gt;"",IF($Y67&lt;=0.1,"In Progress - On Track","In Progress - BEHIND"),IF($M$5&lt;$C67,"Not Started","NOT STARTED - LATE"))))))</f>
        <v>NOT STARTED - LATE</v>
      </c>
      <c r="P67" s="97"/>
      <c r="Q67" s="0" t="str">
        <f aca="false">IF($I67="","",$I67+IF($J67="",0,$J67))</f>
        <v/>
      </c>
      <c r="R67" s="0" t="str">
        <f aca="false">IF($K67="","",$K67+IF($L67="",0,$L67))</f>
        <v/>
      </c>
      <c r="S67" s="4" t="n">
        <f aca="false">IF($V67=1,0,IF($R67&lt;&gt;"",1,IF($N67="",0,$N67)))</f>
        <v>0</v>
      </c>
      <c r="T67" s="4" t="n">
        <f aca="false">IF(OR($B67="",$E67=0),0,MEDIAN(0,($M$5-$C67)/($E67/24),1))</f>
        <v>1</v>
      </c>
      <c r="U67" s="4" t="n">
        <f aca="false">($S67-$T67)*$E67</f>
        <v>-1</v>
      </c>
      <c r="V67" s="4" t="n">
        <f aca="false">IF(OR(AND($Q67&lt;&gt;"",$Q67&lt;$C$8),AND($Q67&lt;&gt;"",$R67&lt;&gt;"",$R67&lt;$Q67),AND($R67&lt;&gt;"",$Q67="")),1,0)</f>
        <v>0</v>
      </c>
      <c r="W67" s="98" t="n">
        <f aca="false">IF($B67="","",IF($S67=1,IF($R67&lt;&gt;"",$R67,$D67),IF($Q67&lt;&gt;"",MAX($M$5,$Q67)+$E67*(1-$S67)/24,MAX($M$5,$C67)+$E67/24)))</f>
        <v>46311.7916666667</v>
      </c>
      <c r="X67" s="4" t="n">
        <f aca="false">IF($B67="","",ROUND(($W67-$D67)*24,1))</f>
        <v>3</v>
      </c>
      <c r="Y67" s="4" t="n">
        <f aca="false">IF($B67="","",IF($Q67&lt;&gt;"",$X67,IF($X67&gt;0,MAX($X67,IF($Y66="",0,IF($Y66&gt;0,$Y66-MAX(0,($C67-$D66)*24),$Y66))),IF($Y66="",0,IF($Y66&gt;0,$Y66-MAX(0,($C67-$D66)*24),$Y66)))))</f>
        <v>18</v>
      </c>
      <c r="AB67" s="4" t="n">
        <f aca="false">IF(AND($B67&lt;&gt;"",$F67&gt;=11),1,0)</f>
        <v>0</v>
      </c>
    </row>
    <row r="68" customFormat="false" ht="19.5" hidden="false" customHeight="true" outlineLevel="0" collapsed="false">
      <c r="A68" s="85" t="n">
        <f aca="false">IF(OR($B68="",12&gt;$O$10),"",12)</f>
        <v>12</v>
      </c>
      <c r="B68" s="86" t="s">
        <v>110</v>
      </c>
      <c r="C68" s="87" t="n">
        <f aca="true">IF(OR($B68="",12&gt;$O$10),"",IF($F68=0,$C$8,IF($G68="SS",OFFSET($C$56,$F68,0)+$H68/24,IF($G68="FF",OFFSET($D$56,$F68,0)+$H68/24-$E68/24,IF($G68="SF",OFFSET($C$56,$F68,0)+$H68/24-$E68/24,OFFSET($D$56,$F68,0)+$H68/24)))))</f>
        <v>46311.6666666667</v>
      </c>
      <c r="D68" s="87" t="n">
        <f aca="false">IF(OR($B68="",12&gt;$O$10),"",$C68+$E68/24)</f>
        <v>46311.7083333333</v>
      </c>
      <c r="E68" s="88" t="n">
        <v>1</v>
      </c>
      <c r="F68" s="89" t="n">
        <v>11</v>
      </c>
      <c r="G68" s="90" t="s">
        <v>49</v>
      </c>
      <c r="H68" s="91" t="n">
        <v>0</v>
      </c>
      <c r="I68" s="92"/>
      <c r="J68" s="93"/>
      <c r="K68" s="92"/>
      <c r="L68" s="93"/>
      <c r="M68" s="94" t="str">
        <f aca="false">IF(OR($Q68="",$R68="",$V68=1),"",($R68-$Q68)*24)</f>
        <v/>
      </c>
      <c r="N68" s="95"/>
      <c r="O68" s="96" t="str">
        <f aca="false">IF(OR($B68="",12&gt;$O$10),"",IF($AB68=1,"! CHECK LINK",IF($V68=1,"! CHECK DATES",IF($S68=1,IF($R68="","Completed",IF($R68&lt;$D68,"Completed - Ahead",IF($R68&lt;=$D68+1/1440,"Completed - On Time","Completed - Delayed"))),IF($Q68&lt;&gt;"",IF($Y68&lt;=0.1,"In Progress - On Track","In Progress - BEHIND"),IF($M$5&lt;$C68,"Not Started","NOT STARTED - LATE"))))))</f>
        <v>NOT STARTED - LATE</v>
      </c>
      <c r="P68" s="97"/>
      <c r="Q68" s="0" t="str">
        <f aca="false">IF($I68="","",$I68+IF($J68="",0,$J68))</f>
        <v/>
      </c>
      <c r="R68" s="0" t="str">
        <f aca="false">IF($K68="","",$K68+IF($L68="",0,$L68))</f>
        <v/>
      </c>
      <c r="S68" s="4" t="n">
        <f aca="false">IF($V68=1,0,IF($R68&lt;&gt;"",1,IF($N68="",0,$N68)))</f>
        <v>0</v>
      </c>
      <c r="T68" s="4" t="n">
        <f aca="false">IF(OR($B68="",$E68=0),0,MEDIAN(0,($M$5-$C68)/($E68/24),1))</f>
        <v>1</v>
      </c>
      <c r="U68" s="4" t="n">
        <f aca="false">($S68-$T68)*$E68</f>
        <v>-1</v>
      </c>
      <c r="V68" s="4" t="n">
        <f aca="false">IF(OR(AND($Q68&lt;&gt;"",$Q68&lt;$C$8),AND($Q68&lt;&gt;"",$R68&lt;&gt;"",$R68&lt;$Q68),AND($R68&lt;&gt;"",$Q68="")),1,0)</f>
        <v>0</v>
      </c>
      <c r="W68" s="98" t="n">
        <f aca="false">IF($B68="","",IF($S68=1,IF($R68&lt;&gt;"",$R68,$D68),IF($Q68&lt;&gt;"",MAX($M$5,$Q68)+$E68*(1-$S68)/24,MAX($M$5,$C68)+$E68/24)))</f>
        <v>46311.7916666667</v>
      </c>
      <c r="X68" s="4" t="n">
        <f aca="false">IF($B68="","",ROUND(($W68-$D68)*24,1))</f>
        <v>2</v>
      </c>
      <c r="Y68" s="4" t="n">
        <f aca="false">IF($B68="","",IF($Q68&lt;&gt;"",$X68,IF($X68&gt;0,MAX($X68,IF($Y67="",0,IF($Y67&gt;0,$Y67-MAX(0,($C68-$D67)*24),$Y67))),IF($Y67="",0,IF($Y67&gt;0,$Y67-MAX(0,($C68-$D67)*24),$Y67)))))</f>
        <v>18</v>
      </c>
      <c r="AB68" s="4" t="n">
        <f aca="false">IF(AND($B68&lt;&gt;"",$F68&gt;=12),1,0)</f>
        <v>0</v>
      </c>
    </row>
    <row r="69" customFormat="false" ht="19.5" hidden="false" customHeight="true" outlineLevel="0" collapsed="false">
      <c r="A69" s="85" t="n">
        <f aca="false">IF(OR($B69="",13&gt;$O$10),"",13)</f>
        <v>13</v>
      </c>
      <c r="B69" s="86" t="s">
        <v>111</v>
      </c>
      <c r="C69" s="87" t="n">
        <f aca="true">IF(OR($B69="",13&gt;$O$10),"",IF($F69=0,$C$8,IF($G69="SS",OFFSET($C$56,$F69,0)+$H69/24,IF($G69="FF",OFFSET($D$56,$F69,0)+$H69/24-$E69/24,IF($G69="SF",OFFSET($C$56,$F69,0)+$H69/24-$E69/24,OFFSET($D$56,$F69,0)+$H69/24)))))</f>
        <v>46311.7083333333</v>
      </c>
      <c r="D69" s="87" t="n">
        <f aca="false">IF(OR($B69="",13&gt;$O$10),"",$C69+$E69/24)</f>
        <v>46311.75</v>
      </c>
      <c r="E69" s="88" t="n">
        <v>1</v>
      </c>
      <c r="F69" s="89" t="n">
        <v>12</v>
      </c>
      <c r="G69" s="90" t="s">
        <v>49</v>
      </c>
      <c r="H69" s="91" t="n">
        <v>0</v>
      </c>
      <c r="I69" s="92"/>
      <c r="J69" s="93"/>
      <c r="K69" s="92"/>
      <c r="L69" s="93"/>
      <c r="M69" s="94" t="str">
        <f aca="false">IF(OR($Q69="",$R69="",$V69=1),"",($R69-$Q69)*24)</f>
        <v/>
      </c>
      <c r="N69" s="95"/>
      <c r="O69" s="96" t="str">
        <f aca="false">IF(OR($B69="",13&gt;$O$10),"",IF($AB69=1,"! CHECK LINK",IF($V69=1,"! CHECK DATES",IF($S69=1,IF($R69="","Completed",IF($R69&lt;$D69,"Completed - Ahead",IF($R69&lt;=$D69+1/1440,"Completed - On Time","Completed - Delayed"))),IF($Q69&lt;&gt;"",IF($Y69&lt;=0.1,"In Progress - On Track","In Progress - BEHIND"),IF($M$5&lt;$C69,"Not Started","NOT STARTED - LATE"))))))</f>
        <v>NOT STARTED - LATE</v>
      </c>
      <c r="P69" s="97"/>
      <c r="Q69" s="0" t="str">
        <f aca="false">IF($I69="","",$I69+IF($J69="",0,$J69))</f>
        <v/>
      </c>
      <c r="R69" s="0" t="str">
        <f aca="false">IF($K69="","",$K69+IF($L69="",0,$L69))</f>
        <v/>
      </c>
      <c r="S69" s="4" t="n">
        <f aca="false">IF($V69=1,0,IF($R69&lt;&gt;"",1,IF($N69="",0,$N69)))</f>
        <v>0</v>
      </c>
      <c r="T69" s="4" t="n">
        <f aca="false">IF(OR($B69="",$E69=0),0,MEDIAN(0,($M$5-$C69)/($E69/24),1))</f>
        <v>1</v>
      </c>
      <c r="U69" s="4" t="n">
        <f aca="false">($S69-$T69)*$E69</f>
        <v>-1</v>
      </c>
      <c r="V69" s="4" t="n">
        <f aca="false">IF(OR(AND($Q69&lt;&gt;"",$Q69&lt;$C$8),AND($Q69&lt;&gt;"",$R69&lt;&gt;"",$R69&lt;$Q69),AND($R69&lt;&gt;"",$Q69="")),1,0)</f>
        <v>0</v>
      </c>
      <c r="W69" s="98" t="n">
        <f aca="false">IF($B69="","",IF($S69=1,IF($R69&lt;&gt;"",$R69,$D69),IF($Q69&lt;&gt;"",MAX($M$5,$Q69)+$E69*(1-$S69)/24,MAX($M$5,$C69)+$E69/24)))</f>
        <v>46311.7916666667</v>
      </c>
      <c r="X69" s="4" t="n">
        <f aca="false">IF($B69="","",ROUND(($W69-$D69)*24,1))</f>
        <v>1</v>
      </c>
      <c r="Y69" s="4" t="n">
        <f aca="false">IF($B69="","",IF($Q69&lt;&gt;"",$X69,IF($X69&gt;0,MAX($X69,IF($Y68="",0,IF($Y68&gt;0,$Y68-MAX(0,($C69-$D68)*24),$Y68))),IF($Y68="",0,IF($Y68&gt;0,$Y68-MAX(0,($C69-$D68)*24),$Y68)))))</f>
        <v>18</v>
      </c>
      <c r="AB69" s="4" t="n">
        <f aca="false">IF(AND($B69&lt;&gt;"",$F69&gt;=13),1,0)</f>
        <v>0</v>
      </c>
    </row>
    <row r="70" customFormat="false" ht="19.5" hidden="false" customHeight="true" outlineLevel="0" collapsed="false">
      <c r="A70" s="85" t="n">
        <f aca="false">IF(OR($B70="",14&gt;$O$10),"",14)</f>
        <v>14</v>
      </c>
      <c r="B70" s="86" t="s">
        <v>112</v>
      </c>
      <c r="C70" s="87" t="n">
        <f aca="true">IF(OR($B70="",14&gt;$O$10),"",IF($F70=0,$C$8,IF($G70="SS",OFFSET($C$56,$F70,0)+$H70/24,IF($G70="FF",OFFSET($D$56,$F70,0)+$H70/24-$E70/24,IF($G70="SF",OFFSET($C$56,$F70,0)+$H70/24-$E70/24,OFFSET($D$56,$F70,0)+$H70/24)))))</f>
        <v>46311.75</v>
      </c>
      <c r="D70" s="87" t="n">
        <f aca="false">IF(OR($B70="",14&gt;$O$10),"",$C70+$E70/24)</f>
        <v>46311.7916666667</v>
      </c>
      <c r="E70" s="88" t="n">
        <v>1</v>
      </c>
      <c r="F70" s="89" t="n">
        <v>13</v>
      </c>
      <c r="G70" s="90" t="s">
        <v>49</v>
      </c>
      <c r="H70" s="91" t="n">
        <v>0</v>
      </c>
      <c r="I70" s="92"/>
      <c r="J70" s="93"/>
      <c r="K70" s="92"/>
      <c r="L70" s="93"/>
      <c r="M70" s="94" t="str">
        <f aca="false">IF(OR($Q70="",$R70="",$V70=1),"",($R70-$Q70)*24)</f>
        <v/>
      </c>
      <c r="N70" s="95"/>
      <c r="O70" s="96" t="str">
        <f aca="false">IF(OR($B70="",14&gt;$O$10),"",IF($AB70=1,"! CHECK LINK",IF($V70=1,"! CHECK DATES",IF($S70=1,IF($R70="","Completed",IF($R70&lt;$D70,"Completed - Ahead",IF($R70&lt;=$D70+1/1440,"Completed - On Time","Completed - Delayed"))),IF($Q70&lt;&gt;"",IF($Y70&lt;=0.1,"In Progress - On Track","In Progress - BEHIND"),IF($M$5&lt;$C70,"Not Started","NOT STARTED - LATE"))))))</f>
        <v>NOT STARTED - LATE</v>
      </c>
      <c r="P70" s="97"/>
      <c r="Q70" s="0" t="str">
        <f aca="false">IF($I70="","",$I70+IF($J70="",0,$J70))</f>
        <v/>
      </c>
      <c r="R70" s="0" t="str">
        <f aca="false">IF($K70="","",$K70+IF($L70="",0,$L70))</f>
        <v/>
      </c>
      <c r="S70" s="4" t="n">
        <f aca="false">IF($V70=1,0,IF($R70&lt;&gt;"",1,IF($N70="",0,$N70)))</f>
        <v>0</v>
      </c>
      <c r="T70" s="4" t="n">
        <f aca="false">IF(OR($B70="",$E70=0),0,MEDIAN(0,($M$5-$C70)/($E70/24),1))</f>
        <v>0</v>
      </c>
      <c r="U70" s="4" t="n">
        <f aca="false">($S70-$T70)*$E70</f>
        <v>0</v>
      </c>
      <c r="V70" s="4" t="n">
        <f aca="false">IF(OR(AND($Q70&lt;&gt;"",$Q70&lt;$C$8),AND($Q70&lt;&gt;"",$R70&lt;&gt;"",$R70&lt;$Q70),AND($R70&lt;&gt;"",$Q70="")),1,0)</f>
        <v>0</v>
      </c>
      <c r="W70" s="98" t="n">
        <f aca="false">IF($B70="","",IF($S70=1,IF($R70&lt;&gt;"",$R70,$D70),IF($Q70&lt;&gt;"",MAX($M$5,$Q70)+$E70*(1-$S70)/24,MAX($M$5,$C70)+$E70/24)))</f>
        <v>46311.7916666667</v>
      </c>
      <c r="X70" s="4" t="n">
        <f aca="false">IF($B70="","",ROUND(($W70-$D70)*24,1))</f>
        <v>0</v>
      </c>
      <c r="Y70" s="4" t="n">
        <f aca="false">IF($B70="","",IF($Q70&lt;&gt;"",$X70,IF($X70&gt;0,MAX($X70,IF($Y69="",0,IF($Y69&gt;0,$Y69-MAX(0,($C70-$D69)*24),$Y69))),IF($Y69="",0,IF($Y69&gt;0,$Y69-MAX(0,($C70-$D69)*24),$Y69)))))</f>
        <v>18</v>
      </c>
      <c r="AB70" s="4" t="n">
        <f aca="false">IF(AND($B70&lt;&gt;"",$F70&gt;=14),1,0)</f>
        <v>0</v>
      </c>
    </row>
    <row r="71" customFormat="false" ht="19.5" hidden="false" customHeight="true" outlineLevel="0" collapsed="false">
      <c r="A71" s="85" t="n">
        <f aca="false">IF(OR($B71="",15&gt;$O$10),"",15)</f>
        <v>15</v>
      </c>
      <c r="B71" s="86" t="s">
        <v>113</v>
      </c>
      <c r="C71" s="87" t="n">
        <f aca="true">IF(OR($B71="",15&gt;$O$10),"",IF($F71=0,$C$8,IF($G71="SS",OFFSET($C$56,$F71,0)+$H71/24,IF($G71="FF",OFFSET($D$56,$F71,0)+$H71/24-$E71/24,IF($G71="SF",OFFSET($C$56,$F71,0)+$H71/24-$E71/24,OFFSET($D$56,$F71,0)+$H71/24)))))</f>
        <v>46311.7916666667</v>
      </c>
      <c r="D71" s="87" t="n">
        <f aca="false">IF(OR($B71="",15&gt;$O$10),"",$C71+$E71/24)</f>
        <v>46311.8333333333</v>
      </c>
      <c r="E71" s="88" t="n">
        <v>1</v>
      </c>
      <c r="F71" s="89" t="n">
        <v>14</v>
      </c>
      <c r="G71" s="90" t="s">
        <v>49</v>
      </c>
      <c r="H71" s="91" t="n">
        <v>0</v>
      </c>
      <c r="I71" s="92"/>
      <c r="J71" s="93"/>
      <c r="K71" s="92"/>
      <c r="L71" s="93"/>
      <c r="M71" s="94" t="str">
        <f aca="false">IF(OR($Q71="",$R71="",$V71=1),"",($R71-$Q71)*24)</f>
        <v/>
      </c>
      <c r="N71" s="95"/>
      <c r="O71" s="96" t="str">
        <f aca="false">IF(OR($B71="",15&gt;$O$10),"",IF($AB71=1,"! CHECK LINK",IF($V71=1,"! CHECK DATES",IF($S71=1,IF($R71="","Completed",IF($R71&lt;$D71,"Completed - Ahead",IF($R71&lt;=$D71+1/1440,"Completed - On Time","Completed - Delayed"))),IF($Q71&lt;&gt;"",IF($Y71&lt;=0.1,"In Progress - On Track","In Progress - BEHIND"),IF($M$5&lt;$C71,"Not Started","NOT STARTED - LATE"))))))</f>
        <v>Not Started</v>
      </c>
      <c r="P71" s="97"/>
      <c r="Q71" s="0" t="str">
        <f aca="false">IF($I71="","",$I71+IF($J71="",0,$J71))</f>
        <v/>
      </c>
      <c r="R71" s="0" t="str">
        <f aca="false">IF($K71="","",$K71+IF($L71="",0,$L71))</f>
        <v/>
      </c>
      <c r="S71" s="4" t="n">
        <f aca="false">IF($V71=1,0,IF($R71&lt;&gt;"",1,IF($N71="",0,$N71)))</f>
        <v>0</v>
      </c>
      <c r="T71" s="4" t="n">
        <f aca="false">IF(OR($B71="",$E71=0),0,MEDIAN(0,($M$5-$C71)/($E71/24),1))</f>
        <v>0</v>
      </c>
      <c r="U71" s="4" t="n">
        <f aca="false">($S71-$T71)*$E71</f>
        <v>0</v>
      </c>
      <c r="V71" s="4" t="n">
        <f aca="false">IF(OR(AND($Q71&lt;&gt;"",$Q71&lt;$C$8),AND($Q71&lt;&gt;"",$R71&lt;&gt;"",$R71&lt;$Q71),AND($R71&lt;&gt;"",$Q71="")),1,0)</f>
        <v>0</v>
      </c>
      <c r="W71" s="98" t="n">
        <f aca="false">IF($B71="","",IF($S71=1,IF($R71&lt;&gt;"",$R71,$D71),IF($Q71&lt;&gt;"",MAX($M$5,$Q71)+$E71*(1-$S71)/24,MAX($M$5,$C71)+$E71/24)))</f>
        <v>46311.8333333333</v>
      </c>
      <c r="X71" s="4" t="n">
        <f aca="false">IF($B71="","",ROUND(($W71-$D71)*24,1))</f>
        <v>0</v>
      </c>
      <c r="Y71" s="4" t="n">
        <f aca="false">IF($B71="","",IF($Q71&lt;&gt;"",$X71,IF($X71&gt;0,MAX($X71,IF($Y70="",0,IF($Y70&gt;0,$Y70-MAX(0,($C71-$D70)*24),$Y70))),IF($Y70="",0,IF($Y70&gt;0,$Y70-MAX(0,($C71-$D70)*24),$Y70)))))</f>
        <v>18</v>
      </c>
      <c r="AB71" s="4" t="n">
        <f aca="false">IF(AND($B71&lt;&gt;"",$F71&gt;=15),1,0)</f>
        <v>0</v>
      </c>
    </row>
    <row r="72" customFormat="false" ht="19.5" hidden="false" customHeight="true" outlineLevel="0" collapsed="false">
      <c r="A72" s="85" t="n">
        <f aca="false">IF(OR($B72="",16&gt;$O$10),"",16)</f>
        <v>16</v>
      </c>
      <c r="B72" s="86" t="s">
        <v>114</v>
      </c>
      <c r="C72" s="87" t="n">
        <f aca="true">IF(OR($B72="",16&gt;$O$10),"",IF($F72=0,$C$8,IF($G72="SS",OFFSET($C$56,$F72,0)+$H72/24,IF($G72="FF",OFFSET($D$56,$F72,0)+$H72/24-$E72/24,IF($G72="SF",OFFSET($C$56,$F72,0)+$H72/24-$E72/24,OFFSET($D$56,$F72,0)+$H72/24)))))</f>
        <v>46311.8333333333</v>
      </c>
      <c r="D72" s="87" t="n">
        <f aca="false">IF(OR($B72="",16&gt;$O$10),"",$C72+$E72/24)</f>
        <v>46311.875</v>
      </c>
      <c r="E72" s="88" t="n">
        <v>1</v>
      </c>
      <c r="F72" s="89" t="n">
        <v>15</v>
      </c>
      <c r="G72" s="90" t="s">
        <v>49</v>
      </c>
      <c r="H72" s="91" t="n">
        <v>0</v>
      </c>
      <c r="I72" s="92"/>
      <c r="J72" s="93"/>
      <c r="K72" s="92"/>
      <c r="L72" s="93"/>
      <c r="M72" s="94" t="str">
        <f aca="false">IF(OR($Q72="",$R72="",$V72=1),"",($R72-$Q72)*24)</f>
        <v/>
      </c>
      <c r="N72" s="95"/>
      <c r="O72" s="96" t="str">
        <f aca="false">IF(OR($B72="",16&gt;$O$10),"",IF($AB72=1,"! CHECK LINK",IF($V72=1,"! CHECK DATES",IF($S72=1,IF($R72="","Completed",IF($R72&lt;$D72,"Completed - Ahead",IF($R72&lt;=$D72+1/1440,"Completed - On Time","Completed - Delayed"))),IF($Q72&lt;&gt;"",IF($Y72&lt;=0.1,"In Progress - On Track","In Progress - BEHIND"),IF($M$5&lt;$C72,"Not Started","NOT STARTED - LATE"))))))</f>
        <v>Not Started</v>
      </c>
      <c r="P72" s="97"/>
      <c r="Q72" s="0" t="str">
        <f aca="false">IF($I72="","",$I72+IF($J72="",0,$J72))</f>
        <v/>
      </c>
      <c r="R72" s="0" t="str">
        <f aca="false">IF($K72="","",$K72+IF($L72="",0,$L72))</f>
        <v/>
      </c>
      <c r="S72" s="4" t="n">
        <f aca="false">IF($V72=1,0,IF($R72&lt;&gt;"",1,IF($N72="",0,$N72)))</f>
        <v>0</v>
      </c>
      <c r="T72" s="4" t="n">
        <f aca="false">IF(OR($B72="",$E72=0),0,MEDIAN(0,($M$5-$C72)/($E72/24),1))</f>
        <v>0</v>
      </c>
      <c r="U72" s="4" t="n">
        <f aca="false">($S72-$T72)*$E72</f>
        <v>0</v>
      </c>
      <c r="V72" s="4" t="n">
        <f aca="false">IF(OR(AND($Q72&lt;&gt;"",$Q72&lt;$C$8),AND($Q72&lt;&gt;"",$R72&lt;&gt;"",$R72&lt;$Q72),AND($R72&lt;&gt;"",$Q72="")),1,0)</f>
        <v>0</v>
      </c>
      <c r="W72" s="98" t="n">
        <f aca="false">IF($B72="","",IF($S72=1,IF($R72&lt;&gt;"",$R72,$D72),IF($Q72&lt;&gt;"",MAX($M$5,$Q72)+$E72*(1-$S72)/24,MAX($M$5,$C72)+$E72/24)))</f>
        <v>46311.875</v>
      </c>
      <c r="X72" s="4" t="n">
        <f aca="false">IF($B72="","",ROUND(($W72-$D72)*24,1))</f>
        <v>0</v>
      </c>
      <c r="Y72" s="4" t="n">
        <f aca="false">IF($B72="","",IF($Q72&lt;&gt;"",$X72,IF($X72&gt;0,MAX($X72,IF($Y71="",0,IF($Y71&gt;0,$Y71-MAX(0,($C72-$D71)*24),$Y71))),IF($Y71="",0,IF($Y71&gt;0,$Y71-MAX(0,($C72-$D71)*24),$Y71)))))</f>
        <v>18</v>
      </c>
      <c r="AB72" s="4" t="n">
        <f aca="false">IF(AND($B72&lt;&gt;"",$F72&gt;=16),1,0)</f>
        <v>0</v>
      </c>
    </row>
    <row r="73" customFormat="false" ht="19.5" hidden="false" customHeight="true" outlineLevel="0" collapsed="false">
      <c r="A73" s="85" t="n">
        <f aca="false">IF(OR($B73="",17&gt;$O$10),"",17)</f>
        <v>17</v>
      </c>
      <c r="B73" s="86" t="s">
        <v>115</v>
      </c>
      <c r="C73" s="87" t="n">
        <f aca="true">IF(OR($B73="",17&gt;$O$10),"",IF($F73=0,$C$8,IF($G73="SS",OFFSET($C$56,$F73,0)+$H73/24,IF($G73="FF",OFFSET($D$56,$F73,0)+$H73/24-$E73/24,IF($G73="SF",OFFSET($C$56,$F73,0)+$H73/24-$E73/24,OFFSET($D$56,$F73,0)+$H73/24)))))</f>
        <v>46311.875</v>
      </c>
      <c r="D73" s="87" t="n">
        <f aca="false">IF(OR($B73="",17&gt;$O$10),"",$C73+$E73/24)</f>
        <v>46311.9166666667</v>
      </c>
      <c r="E73" s="88" t="n">
        <v>1</v>
      </c>
      <c r="F73" s="89" t="n">
        <v>16</v>
      </c>
      <c r="G73" s="90" t="s">
        <v>49</v>
      </c>
      <c r="H73" s="91" t="n">
        <v>0</v>
      </c>
      <c r="I73" s="92"/>
      <c r="J73" s="93"/>
      <c r="K73" s="92"/>
      <c r="L73" s="93"/>
      <c r="M73" s="94" t="str">
        <f aca="false">IF(OR($Q73="",$R73="",$V73=1),"",($R73-$Q73)*24)</f>
        <v/>
      </c>
      <c r="N73" s="95"/>
      <c r="O73" s="96" t="str">
        <f aca="false">IF(OR($B73="",17&gt;$O$10),"",IF($AB73=1,"! CHECK LINK",IF($V73=1,"! CHECK DATES",IF($S73=1,IF($R73="","Completed",IF($R73&lt;$D73,"Completed - Ahead",IF($R73&lt;=$D73+1/1440,"Completed - On Time","Completed - Delayed"))),IF($Q73&lt;&gt;"",IF($Y73&lt;=0.1,"In Progress - On Track","In Progress - BEHIND"),IF($M$5&lt;$C73,"Not Started","NOT STARTED - LATE"))))))</f>
        <v>Not Started</v>
      </c>
      <c r="P73" s="97"/>
      <c r="Q73" s="0" t="str">
        <f aca="false">IF($I73="","",$I73+IF($J73="",0,$J73))</f>
        <v/>
      </c>
      <c r="R73" s="0" t="str">
        <f aca="false">IF($K73="","",$K73+IF($L73="",0,$L73))</f>
        <v/>
      </c>
      <c r="S73" s="4" t="n">
        <f aca="false">IF($V73=1,0,IF($R73&lt;&gt;"",1,IF($N73="",0,$N73)))</f>
        <v>0</v>
      </c>
      <c r="T73" s="4" t="n">
        <f aca="false">IF(OR($B73="",$E73=0),0,MEDIAN(0,($M$5-$C73)/($E73/24),1))</f>
        <v>0</v>
      </c>
      <c r="U73" s="4" t="n">
        <f aca="false">($S73-$T73)*$E73</f>
        <v>0</v>
      </c>
      <c r="V73" s="4" t="n">
        <f aca="false">IF(OR(AND($Q73&lt;&gt;"",$Q73&lt;$C$8),AND($Q73&lt;&gt;"",$R73&lt;&gt;"",$R73&lt;$Q73),AND($R73&lt;&gt;"",$Q73="")),1,0)</f>
        <v>0</v>
      </c>
      <c r="W73" s="98" t="n">
        <f aca="false">IF($B73="","",IF($S73=1,IF($R73&lt;&gt;"",$R73,$D73),IF($Q73&lt;&gt;"",MAX($M$5,$Q73)+$E73*(1-$S73)/24,MAX($M$5,$C73)+$E73/24)))</f>
        <v>46311.9166666667</v>
      </c>
      <c r="X73" s="4" t="n">
        <f aca="false">IF($B73="","",ROUND(($W73-$D73)*24,1))</f>
        <v>0</v>
      </c>
      <c r="Y73" s="4" t="n">
        <f aca="false">IF($B73="","",IF($Q73&lt;&gt;"",$X73,IF($X73&gt;0,MAX($X73,IF($Y72="",0,IF($Y72&gt;0,$Y72-MAX(0,($C73-$D72)*24),$Y72))),IF($Y72="",0,IF($Y72&gt;0,$Y72-MAX(0,($C73-$D72)*24),$Y72)))))</f>
        <v>18</v>
      </c>
      <c r="AB73" s="4" t="n">
        <f aca="false">IF(AND($B73&lt;&gt;"",$F73&gt;=17),1,0)</f>
        <v>0</v>
      </c>
    </row>
    <row r="74" customFormat="false" ht="19.5" hidden="false" customHeight="true" outlineLevel="0" collapsed="false">
      <c r="A74" s="85" t="n">
        <f aca="false">IF(OR($B74="",18&gt;$O$10),"",18)</f>
        <v>18</v>
      </c>
      <c r="B74" s="86" t="s">
        <v>116</v>
      </c>
      <c r="C74" s="87" t="n">
        <f aca="true">IF(OR($B74="",18&gt;$O$10),"",IF($F74=0,$C$8,IF($G74="SS",OFFSET($C$56,$F74,0)+$H74/24,IF($G74="FF",OFFSET($D$56,$F74,0)+$H74/24-$E74/24,IF($G74="SF",OFFSET($C$56,$F74,0)+$H74/24-$E74/24,OFFSET($D$56,$F74,0)+$H74/24)))))</f>
        <v>46311.9166666667</v>
      </c>
      <c r="D74" s="87" t="n">
        <f aca="false">IF(OR($B74="",18&gt;$O$10),"",$C74+$E74/24)</f>
        <v>46311.9583333333</v>
      </c>
      <c r="E74" s="88" t="n">
        <v>1</v>
      </c>
      <c r="F74" s="89" t="n">
        <v>17</v>
      </c>
      <c r="G74" s="90" t="s">
        <v>49</v>
      </c>
      <c r="H74" s="91" t="n">
        <v>0</v>
      </c>
      <c r="I74" s="92"/>
      <c r="J74" s="93"/>
      <c r="K74" s="92"/>
      <c r="L74" s="93"/>
      <c r="M74" s="94" t="str">
        <f aca="false">IF(OR($Q74="",$R74="",$V74=1),"",($R74-$Q74)*24)</f>
        <v/>
      </c>
      <c r="N74" s="95"/>
      <c r="O74" s="96" t="str">
        <f aca="false">IF(OR($B74="",18&gt;$O$10),"",IF($AB74=1,"! CHECK LINK",IF($V74=1,"! CHECK DATES",IF($S74=1,IF($R74="","Completed",IF($R74&lt;$D74,"Completed - Ahead",IF($R74&lt;=$D74+1/1440,"Completed - On Time","Completed - Delayed"))),IF($Q74&lt;&gt;"",IF($Y74&lt;=0.1,"In Progress - On Track","In Progress - BEHIND"),IF($M$5&lt;$C74,"Not Started","NOT STARTED - LATE"))))))</f>
        <v>Not Started</v>
      </c>
      <c r="P74" s="97"/>
      <c r="Q74" s="0" t="str">
        <f aca="false">IF($I74="","",$I74+IF($J74="",0,$J74))</f>
        <v/>
      </c>
      <c r="R74" s="0" t="str">
        <f aca="false">IF($K74="","",$K74+IF($L74="",0,$L74))</f>
        <v/>
      </c>
      <c r="S74" s="4" t="n">
        <f aca="false">IF($V74=1,0,IF($R74&lt;&gt;"",1,IF($N74="",0,$N74)))</f>
        <v>0</v>
      </c>
      <c r="T74" s="4" t="n">
        <f aca="false">IF(OR($B74="",$E74=0),0,MEDIAN(0,($M$5-$C74)/($E74/24),1))</f>
        <v>0</v>
      </c>
      <c r="U74" s="4" t="n">
        <f aca="false">($S74-$T74)*$E74</f>
        <v>0</v>
      </c>
      <c r="V74" s="4" t="n">
        <f aca="false">IF(OR(AND($Q74&lt;&gt;"",$Q74&lt;$C$8),AND($Q74&lt;&gt;"",$R74&lt;&gt;"",$R74&lt;$Q74),AND($R74&lt;&gt;"",$Q74="")),1,0)</f>
        <v>0</v>
      </c>
      <c r="W74" s="98" t="n">
        <f aca="false">IF($B74="","",IF($S74=1,IF($R74&lt;&gt;"",$R74,$D74),IF($Q74&lt;&gt;"",MAX($M$5,$Q74)+$E74*(1-$S74)/24,MAX($M$5,$C74)+$E74/24)))</f>
        <v>46311.9583333333</v>
      </c>
      <c r="X74" s="4" t="n">
        <f aca="false">IF($B74="","",ROUND(($W74-$D74)*24,1))</f>
        <v>0</v>
      </c>
      <c r="Y74" s="4" t="n">
        <f aca="false">IF($B74="","",IF($Q74&lt;&gt;"",$X74,IF($X74&gt;0,MAX($X74,IF($Y73="",0,IF($Y73&gt;0,$Y73-MAX(0,($C74-$D73)*24),$Y73))),IF($Y73="",0,IF($Y73&gt;0,$Y73-MAX(0,($C74-$D73)*24),$Y73)))))</f>
        <v>18</v>
      </c>
      <c r="AB74" s="4" t="n">
        <f aca="false">IF(AND($B74&lt;&gt;"",$F74&gt;=18),1,0)</f>
        <v>0</v>
      </c>
    </row>
    <row r="75" customFormat="false" ht="19.5" hidden="false" customHeight="true" outlineLevel="0" collapsed="false">
      <c r="A75" s="85" t="n">
        <f aca="false">IF(OR($B75="",19&gt;$O$10),"",19)</f>
        <v>19</v>
      </c>
      <c r="B75" s="86" t="s">
        <v>117</v>
      </c>
      <c r="C75" s="87" t="n">
        <f aca="true">IF(OR($B75="",19&gt;$O$10),"",IF($F75=0,$C$8,IF($G75="SS",OFFSET($C$56,$F75,0)+$H75/24,IF($G75="FF",OFFSET($D$56,$F75,0)+$H75/24-$E75/24,IF($G75="SF",OFFSET($C$56,$F75,0)+$H75/24-$E75/24,OFFSET($D$56,$F75,0)+$H75/24)))))</f>
        <v>46311.9583333333</v>
      </c>
      <c r="D75" s="87" t="n">
        <f aca="false">IF(OR($B75="",19&gt;$O$10),"",$C75+$E75/24)</f>
        <v>46312.0416666667</v>
      </c>
      <c r="E75" s="88" t="n">
        <v>2</v>
      </c>
      <c r="F75" s="89" t="n">
        <v>18</v>
      </c>
      <c r="G75" s="90" t="s">
        <v>49</v>
      </c>
      <c r="H75" s="91" t="n">
        <v>0</v>
      </c>
      <c r="I75" s="92"/>
      <c r="J75" s="93"/>
      <c r="K75" s="92"/>
      <c r="L75" s="93"/>
      <c r="M75" s="94" t="str">
        <f aca="false">IF(OR($Q75="",$R75="",$V75=1),"",($R75-$Q75)*24)</f>
        <v/>
      </c>
      <c r="N75" s="95"/>
      <c r="O75" s="96" t="str">
        <f aca="false">IF(OR($B75="",19&gt;$O$10),"",IF($AB75=1,"! CHECK LINK",IF($V75=1,"! CHECK DATES",IF($S75=1,IF($R75="","Completed",IF($R75&lt;$D75,"Completed - Ahead",IF($R75&lt;=$D75+1/1440,"Completed - On Time","Completed - Delayed"))),IF($Q75&lt;&gt;"",IF($Y75&lt;=0.1,"In Progress - On Track","In Progress - BEHIND"),IF($M$5&lt;$C75,"Not Started","NOT STARTED - LATE"))))))</f>
        <v>Not Started</v>
      </c>
      <c r="P75" s="97"/>
      <c r="Q75" s="0" t="str">
        <f aca="false">IF($I75="","",$I75+IF($J75="",0,$J75))</f>
        <v/>
      </c>
      <c r="R75" s="0" t="str">
        <f aca="false">IF($K75="","",$K75+IF($L75="",0,$L75))</f>
        <v/>
      </c>
      <c r="S75" s="4" t="n">
        <f aca="false">IF($V75=1,0,IF($R75&lt;&gt;"",1,IF($N75="",0,$N75)))</f>
        <v>0</v>
      </c>
      <c r="T75" s="4" t="n">
        <f aca="false">IF(OR($B75="",$E75=0),0,MEDIAN(0,($M$5-$C75)/($E75/24),1))</f>
        <v>0</v>
      </c>
      <c r="U75" s="4" t="n">
        <f aca="false">($S75-$T75)*$E75</f>
        <v>0</v>
      </c>
      <c r="V75" s="4" t="n">
        <f aca="false">IF(OR(AND($Q75&lt;&gt;"",$Q75&lt;$C$8),AND($Q75&lt;&gt;"",$R75&lt;&gt;"",$R75&lt;$Q75),AND($R75&lt;&gt;"",$Q75="")),1,0)</f>
        <v>0</v>
      </c>
      <c r="W75" s="98" t="n">
        <f aca="false">IF($B75="","",IF($S75=1,IF($R75&lt;&gt;"",$R75,$D75),IF($Q75&lt;&gt;"",MAX($M$5,$Q75)+$E75*(1-$S75)/24,MAX($M$5,$C75)+$E75/24)))</f>
        <v>46312.0416666667</v>
      </c>
      <c r="X75" s="4" t="n">
        <f aca="false">IF($B75="","",ROUND(($W75-$D75)*24,1))</f>
        <v>0</v>
      </c>
      <c r="Y75" s="4" t="n">
        <f aca="false">IF($B75="","",IF($Q75&lt;&gt;"",$X75,IF($X75&gt;0,MAX($X75,IF($Y74="",0,IF($Y74&gt;0,$Y74-MAX(0,($C75-$D74)*24),$Y74))),IF($Y74="",0,IF($Y74&gt;0,$Y74-MAX(0,($C75-$D74)*24),$Y74)))))</f>
        <v>18</v>
      </c>
      <c r="AB75" s="4" t="n">
        <f aca="false">IF(AND($B75&lt;&gt;"",$F75&gt;=19),1,0)</f>
        <v>0</v>
      </c>
    </row>
    <row r="76" customFormat="false" ht="19.5" hidden="false" customHeight="true" outlineLevel="0" collapsed="false">
      <c r="A76" s="85" t="n">
        <f aca="false">IF(OR($B76="",20&gt;$O$10),"",20)</f>
        <v>20</v>
      </c>
      <c r="B76" s="86" t="s">
        <v>118</v>
      </c>
      <c r="C76" s="87" t="n">
        <f aca="true">IF(OR($B76="",20&gt;$O$10),"",IF($F76=0,$C$8,IF($G76="SS",OFFSET($C$56,$F76,0)+$H76/24,IF($G76="FF",OFFSET($D$56,$F76,0)+$H76/24-$E76/24,IF($G76="SF",OFFSET($C$56,$F76,0)+$H76/24-$E76/24,OFFSET($D$56,$F76,0)+$H76/24)))))</f>
        <v>46312.0416666667</v>
      </c>
      <c r="D76" s="87" t="n">
        <f aca="false">IF(OR($B76="",20&gt;$O$10),"",$C76+$E76/24)</f>
        <v>46312.125</v>
      </c>
      <c r="E76" s="88" t="n">
        <v>2</v>
      </c>
      <c r="F76" s="89" t="n">
        <v>19</v>
      </c>
      <c r="G76" s="90" t="s">
        <v>49</v>
      </c>
      <c r="H76" s="91" t="n">
        <v>0</v>
      </c>
      <c r="I76" s="92"/>
      <c r="J76" s="93"/>
      <c r="K76" s="92"/>
      <c r="L76" s="93"/>
      <c r="M76" s="94" t="str">
        <f aca="false">IF(OR($Q76="",$R76="",$V76=1),"",($R76-$Q76)*24)</f>
        <v/>
      </c>
      <c r="N76" s="95"/>
      <c r="O76" s="96" t="str">
        <f aca="false">IF(OR($B76="",20&gt;$O$10),"",IF($AB76=1,"! CHECK LINK",IF($V76=1,"! CHECK DATES",IF($S76=1,IF($R76="","Completed",IF($R76&lt;$D76,"Completed - Ahead",IF($R76&lt;=$D76+1/1440,"Completed - On Time","Completed - Delayed"))),IF($Q76&lt;&gt;"",IF($Y76&lt;=0.1,"In Progress - On Track","In Progress - BEHIND"),IF($M$5&lt;$C76,"Not Started","NOT STARTED - LATE"))))))</f>
        <v>Not Started</v>
      </c>
      <c r="P76" s="97"/>
      <c r="Q76" s="0" t="str">
        <f aca="false">IF($I76="","",$I76+IF($J76="",0,$J76))</f>
        <v/>
      </c>
      <c r="R76" s="0" t="str">
        <f aca="false">IF($K76="","",$K76+IF($L76="",0,$L76))</f>
        <v/>
      </c>
      <c r="S76" s="4" t="n">
        <f aca="false">IF($V76=1,0,IF($R76&lt;&gt;"",1,IF($N76="",0,$N76)))</f>
        <v>0</v>
      </c>
      <c r="T76" s="4" t="n">
        <f aca="false">IF(OR($B76="",$E76=0),0,MEDIAN(0,($M$5-$C76)/($E76/24),1))</f>
        <v>0</v>
      </c>
      <c r="U76" s="4" t="n">
        <f aca="false">($S76-$T76)*$E76</f>
        <v>0</v>
      </c>
      <c r="V76" s="4" t="n">
        <f aca="false">IF(OR(AND($Q76&lt;&gt;"",$Q76&lt;$C$8),AND($Q76&lt;&gt;"",$R76&lt;&gt;"",$R76&lt;$Q76),AND($R76&lt;&gt;"",$Q76="")),1,0)</f>
        <v>0</v>
      </c>
      <c r="W76" s="98" t="n">
        <f aca="false">IF($B76="","",IF($S76=1,IF($R76&lt;&gt;"",$R76,$D76),IF($Q76&lt;&gt;"",MAX($M$5,$Q76)+$E76*(1-$S76)/24,MAX($M$5,$C76)+$E76/24)))</f>
        <v>46312.125</v>
      </c>
      <c r="X76" s="4" t="n">
        <f aca="false">IF($B76="","",ROUND(($W76-$D76)*24,1))</f>
        <v>0</v>
      </c>
      <c r="Y76" s="4" t="n">
        <f aca="false">IF($B76="","",IF($Q76&lt;&gt;"",$X76,IF($X76&gt;0,MAX($X76,IF($Y75="",0,IF($Y75&gt;0,$Y75-MAX(0,($C76-$D75)*24),$Y75))),IF($Y75="",0,IF($Y75&gt;0,$Y75-MAX(0,($C76-$D75)*24),$Y75)))))</f>
        <v>18</v>
      </c>
      <c r="AB76" s="4" t="n">
        <f aca="false">IF(AND($B76&lt;&gt;"",$F76&gt;=20),1,0)</f>
        <v>0</v>
      </c>
    </row>
    <row r="77" customFormat="false" ht="19.5" hidden="false" customHeight="true" outlineLevel="0" collapsed="false">
      <c r="A77" s="85" t="n">
        <f aca="false">IF(OR($B77="",21&gt;$O$10),"",21)</f>
        <v>21</v>
      </c>
      <c r="B77" s="86" t="s">
        <v>114</v>
      </c>
      <c r="C77" s="87" t="n">
        <f aca="true">IF(OR($B77="",21&gt;$O$10),"",IF($F77=0,$C$8,IF($G77="SS",OFFSET($C$56,$F77,0)+$H77/24,IF($G77="FF",OFFSET($D$56,$F77,0)+$H77/24-$E77/24,IF($G77="SF",OFFSET($C$56,$F77,0)+$H77/24-$E77/24,OFFSET($D$56,$F77,0)+$H77/24)))))</f>
        <v>46312.125</v>
      </c>
      <c r="D77" s="87" t="n">
        <f aca="false">IF(OR($B77="",21&gt;$O$10),"",$C77+$E77/24)</f>
        <v>46312.1666666667</v>
      </c>
      <c r="E77" s="88" t="n">
        <v>1</v>
      </c>
      <c r="F77" s="89" t="n">
        <v>20</v>
      </c>
      <c r="G77" s="90" t="s">
        <v>49</v>
      </c>
      <c r="H77" s="91" t="n">
        <v>0</v>
      </c>
      <c r="I77" s="92"/>
      <c r="J77" s="93"/>
      <c r="K77" s="92"/>
      <c r="L77" s="93"/>
      <c r="M77" s="94" t="str">
        <f aca="false">IF(OR($Q77="",$R77="",$V77=1),"",($R77-$Q77)*24)</f>
        <v/>
      </c>
      <c r="N77" s="95"/>
      <c r="O77" s="96" t="str">
        <f aca="false">IF(OR($B77="",21&gt;$O$10),"",IF($AB77=1,"! CHECK LINK",IF($V77=1,"! CHECK DATES",IF($S77=1,IF($R77="","Completed",IF($R77&lt;$D77,"Completed - Ahead",IF($R77&lt;=$D77+1/1440,"Completed - On Time","Completed - Delayed"))),IF($Q77&lt;&gt;"",IF($Y77&lt;=0.1,"In Progress - On Track","In Progress - BEHIND"),IF($M$5&lt;$C77,"Not Started","NOT STARTED - LATE"))))))</f>
        <v>Not Started</v>
      </c>
      <c r="P77" s="97"/>
      <c r="Q77" s="0" t="str">
        <f aca="false">IF($I77="","",$I77+IF($J77="",0,$J77))</f>
        <v/>
      </c>
      <c r="R77" s="0" t="str">
        <f aca="false">IF($K77="","",$K77+IF($L77="",0,$L77))</f>
        <v/>
      </c>
      <c r="S77" s="4" t="n">
        <f aca="false">IF($V77=1,0,IF($R77&lt;&gt;"",1,IF($N77="",0,$N77)))</f>
        <v>0</v>
      </c>
      <c r="T77" s="4" t="n">
        <f aca="false">IF(OR($B77="",$E77=0),0,MEDIAN(0,($M$5-$C77)/($E77/24),1))</f>
        <v>0</v>
      </c>
      <c r="U77" s="4" t="n">
        <f aca="false">($S77-$T77)*$E77</f>
        <v>0</v>
      </c>
      <c r="V77" s="4" t="n">
        <f aca="false">IF(OR(AND($Q77&lt;&gt;"",$Q77&lt;$C$8),AND($Q77&lt;&gt;"",$R77&lt;&gt;"",$R77&lt;$Q77),AND($R77&lt;&gt;"",$Q77="")),1,0)</f>
        <v>0</v>
      </c>
      <c r="W77" s="98" t="n">
        <f aca="false">IF($B77="","",IF($S77=1,IF($R77&lt;&gt;"",$R77,$D77),IF($Q77&lt;&gt;"",MAX($M$5,$Q77)+$E77*(1-$S77)/24,MAX($M$5,$C77)+$E77/24)))</f>
        <v>46312.1666666667</v>
      </c>
      <c r="X77" s="4" t="n">
        <f aca="false">IF($B77="","",ROUND(($W77-$D77)*24,1))</f>
        <v>0</v>
      </c>
      <c r="Y77" s="4" t="n">
        <f aca="false">IF($B77="","",IF($Q77&lt;&gt;"",$X77,IF($X77&gt;0,MAX($X77,IF($Y76="",0,IF($Y76&gt;0,$Y76-MAX(0,($C77-$D76)*24),$Y76))),IF($Y76="",0,IF($Y76&gt;0,$Y76-MAX(0,($C77-$D76)*24),$Y76)))))</f>
        <v>18</v>
      </c>
      <c r="AB77" s="4" t="n">
        <f aca="false">IF(AND($B77&lt;&gt;"",$F77&gt;=21),1,0)</f>
        <v>0</v>
      </c>
    </row>
    <row r="78" customFormat="false" ht="19.5" hidden="false" customHeight="true" outlineLevel="0" collapsed="false">
      <c r="A78" s="85" t="n">
        <f aca="false">IF(OR($B78="",22&gt;$O$10),"",22)</f>
        <v>22</v>
      </c>
      <c r="B78" s="86" t="s">
        <v>120</v>
      </c>
      <c r="C78" s="87" t="n">
        <f aca="true">IF(OR($B78="",22&gt;$O$10),"",IF($F78=0,$C$8,IF($G78="SS",OFFSET($C$56,$F78,0)+$H78/24,IF($G78="FF",OFFSET($D$56,$F78,0)+$H78/24-$E78/24,IF($G78="SF",OFFSET($C$56,$F78,0)+$H78/24-$E78/24,OFFSET($D$56,$F78,0)+$H78/24)))))</f>
        <v>46312.1666666667</v>
      </c>
      <c r="D78" s="87" t="n">
        <f aca="false">IF(OR($B78="",22&gt;$O$10),"",$C78+$E78/24)</f>
        <v>46312.2083333333</v>
      </c>
      <c r="E78" s="88" t="n">
        <v>1</v>
      </c>
      <c r="F78" s="89" t="n">
        <v>21</v>
      </c>
      <c r="G78" s="90" t="s">
        <v>49</v>
      </c>
      <c r="H78" s="91" t="n">
        <v>0</v>
      </c>
      <c r="I78" s="92"/>
      <c r="J78" s="93"/>
      <c r="K78" s="92"/>
      <c r="L78" s="93"/>
      <c r="M78" s="94" t="str">
        <f aca="false">IF(OR($Q78="",$R78="",$V78=1),"",($R78-$Q78)*24)</f>
        <v/>
      </c>
      <c r="N78" s="95"/>
      <c r="O78" s="96" t="str">
        <f aca="false">IF(OR($B78="",22&gt;$O$10),"",IF($AB78=1,"! CHECK LINK",IF($V78=1,"! CHECK DATES",IF($S78=1,IF($R78="","Completed",IF($R78&lt;$D78,"Completed - Ahead",IF($R78&lt;=$D78+1/1440,"Completed - On Time","Completed - Delayed"))),IF($Q78&lt;&gt;"",IF($Y78&lt;=0.1,"In Progress - On Track","In Progress - BEHIND"),IF($M$5&lt;$C78,"Not Started","NOT STARTED - LATE"))))))</f>
        <v>Not Started</v>
      </c>
      <c r="P78" s="97"/>
      <c r="Q78" s="0" t="str">
        <f aca="false">IF($I78="","",$I78+IF($J78="",0,$J78))</f>
        <v/>
      </c>
      <c r="R78" s="0" t="str">
        <f aca="false">IF($K78="","",$K78+IF($L78="",0,$L78))</f>
        <v/>
      </c>
      <c r="S78" s="4" t="n">
        <f aca="false">IF($V78=1,0,IF($R78&lt;&gt;"",1,IF($N78="",0,$N78)))</f>
        <v>0</v>
      </c>
      <c r="T78" s="4" t="n">
        <f aca="false">IF(OR($B78="",$E78=0),0,MEDIAN(0,($M$5-$C78)/($E78/24),1))</f>
        <v>0</v>
      </c>
      <c r="U78" s="4" t="n">
        <f aca="false">($S78-$T78)*$E78</f>
        <v>0</v>
      </c>
      <c r="V78" s="4" t="n">
        <f aca="false">IF(OR(AND($Q78&lt;&gt;"",$Q78&lt;$C$8),AND($Q78&lt;&gt;"",$R78&lt;&gt;"",$R78&lt;$Q78),AND($R78&lt;&gt;"",$Q78="")),1,0)</f>
        <v>0</v>
      </c>
      <c r="W78" s="98" t="n">
        <f aca="false">IF($B78="","",IF($S78=1,IF($R78&lt;&gt;"",$R78,$D78),IF($Q78&lt;&gt;"",MAX($M$5,$Q78)+$E78*(1-$S78)/24,MAX($M$5,$C78)+$E78/24)))</f>
        <v>46312.2083333333</v>
      </c>
      <c r="X78" s="4" t="n">
        <f aca="false">IF($B78="","",ROUND(($W78-$D78)*24,1))</f>
        <v>0</v>
      </c>
      <c r="Y78" s="4" t="n">
        <f aca="false">IF($B78="","",IF($Q78&lt;&gt;"",$X78,IF($X78&gt;0,MAX($X78,IF($Y77="",0,IF($Y77&gt;0,$Y77-MAX(0,($C78-$D77)*24),$Y77))),IF($Y77="",0,IF($Y77&gt;0,$Y77-MAX(0,($C78-$D77)*24),$Y77)))))</f>
        <v>18</v>
      </c>
      <c r="AB78" s="4" t="n">
        <f aca="false">IF(AND($B78&lt;&gt;"",$F78&gt;=22),1,0)</f>
        <v>0</v>
      </c>
    </row>
    <row r="79" customFormat="false" ht="19.5" hidden="false" customHeight="true" outlineLevel="0" collapsed="false">
      <c r="A79" s="85" t="n">
        <f aca="false">IF(OR($B79="",23&gt;$O$10),"",23)</f>
        <v>23</v>
      </c>
      <c r="B79" s="86" t="s">
        <v>121</v>
      </c>
      <c r="C79" s="87" t="n">
        <f aca="true">IF(OR($B79="",23&gt;$O$10),"",IF($F79=0,$C$8,IF($G79="SS",OFFSET($C$56,$F79,0)+$H79/24,IF($G79="FF",OFFSET($D$56,$F79,0)+$H79/24-$E79/24,IF($G79="SF",OFFSET($C$56,$F79,0)+$H79/24-$E79/24,OFFSET($D$56,$F79,0)+$H79/24)))))</f>
        <v>46312.2083333333</v>
      </c>
      <c r="D79" s="87" t="n">
        <f aca="false">IF(OR($B79="",23&gt;$O$10),"",$C79+$E79/24)</f>
        <v>46312.2916666667</v>
      </c>
      <c r="E79" s="88" t="n">
        <v>2</v>
      </c>
      <c r="F79" s="89" t="n">
        <v>22</v>
      </c>
      <c r="G79" s="90" t="s">
        <v>49</v>
      </c>
      <c r="H79" s="91" t="n">
        <v>0</v>
      </c>
      <c r="I79" s="92"/>
      <c r="J79" s="93"/>
      <c r="K79" s="92"/>
      <c r="L79" s="93"/>
      <c r="M79" s="94" t="str">
        <f aca="false">IF(OR($Q79="",$R79="",$V79=1),"",($R79-$Q79)*24)</f>
        <v/>
      </c>
      <c r="N79" s="95"/>
      <c r="O79" s="96" t="str">
        <f aca="false">IF(OR($B79="",23&gt;$O$10),"",IF($AB79=1,"! CHECK LINK",IF($V79=1,"! CHECK DATES",IF($S79=1,IF($R79="","Completed",IF($R79&lt;$D79,"Completed - Ahead",IF($R79&lt;=$D79+1/1440,"Completed - On Time","Completed - Delayed"))),IF($Q79&lt;&gt;"",IF($Y79&lt;=0.1,"In Progress - On Track","In Progress - BEHIND"),IF($M$5&lt;$C79,"Not Started","NOT STARTED - LATE"))))))</f>
        <v>Not Started</v>
      </c>
      <c r="P79" s="97"/>
      <c r="Q79" s="0" t="str">
        <f aca="false">IF($I79="","",$I79+IF($J79="",0,$J79))</f>
        <v/>
      </c>
      <c r="R79" s="0" t="str">
        <f aca="false">IF($K79="","",$K79+IF($L79="",0,$L79))</f>
        <v/>
      </c>
      <c r="S79" s="4" t="n">
        <f aca="false">IF($V79=1,0,IF($R79&lt;&gt;"",1,IF($N79="",0,$N79)))</f>
        <v>0</v>
      </c>
      <c r="T79" s="4" t="n">
        <f aca="false">IF(OR($B79="",$E79=0),0,MEDIAN(0,($M$5-$C79)/($E79/24),1))</f>
        <v>0</v>
      </c>
      <c r="U79" s="4" t="n">
        <f aca="false">($S79-$T79)*$E79</f>
        <v>0</v>
      </c>
      <c r="V79" s="4" t="n">
        <f aca="false">IF(OR(AND($Q79&lt;&gt;"",$Q79&lt;$C$8),AND($Q79&lt;&gt;"",$R79&lt;&gt;"",$R79&lt;$Q79),AND($R79&lt;&gt;"",$Q79="")),1,0)</f>
        <v>0</v>
      </c>
      <c r="W79" s="98" t="n">
        <f aca="false">IF($B79="","",IF($S79=1,IF($R79&lt;&gt;"",$R79,$D79),IF($Q79&lt;&gt;"",MAX($M$5,$Q79)+$E79*(1-$S79)/24,MAX($M$5,$C79)+$E79/24)))</f>
        <v>46312.2916666667</v>
      </c>
      <c r="X79" s="4" t="n">
        <f aca="false">IF($B79="","",ROUND(($W79-$D79)*24,1))</f>
        <v>0</v>
      </c>
      <c r="Y79" s="4" t="n">
        <f aca="false">IF($B79="","",IF($Q79&lt;&gt;"",$X79,IF($X79&gt;0,MAX($X79,IF($Y78="",0,IF($Y78&gt;0,$Y78-MAX(0,($C79-$D78)*24),$Y78))),IF($Y78="",0,IF($Y78&gt;0,$Y78-MAX(0,($C79-$D78)*24),$Y78)))))</f>
        <v>18</v>
      </c>
      <c r="AB79" s="4" t="n">
        <f aca="false">IF(AND($B79&lt;&gt;"",$F79&gt;=23),1,0)</f>
        <v>0</v>
      </c>
    </row>
    <row r="80" customFormat="false" ht="19.5" hidden="false" customHeight="true" outlineLevel="0" collapsed="false">
      <c r="A80" s="85" t="n">
        <f aca="false">IF(OR($B80="",24&gt;$O$10),"",24)</f>
        <v>24</v>
      </c>
      <c r="B80" s="86" t="s">
        <v>122</v>
      </c>
      <c r="C80" s="87" t="n">
        <f aca="true">IF(OR($B80="",24&gt;$O$10),"",IF($F80=0,$C$8,IF($G80="SS",OFFSET($C$56,$F80,0)+$H80/24,IF($G80="FF",OFFSET($D$56,$F80,0)+$H80/24-$E80/24,IF($G80="SF",OFFSET($C$56,$F80,0)+$H80/24-$E80/24,OFFSET($D$56,$F80,0)+$H80/24)))))</f>
        <v>46312.2916666667</v>
      </c>
      <c r="D80" s="87" t="n">
        <f aca="false">IF(OR($B80="",24&gt;$O$10),"",$C80+$E80/24)</f>
        <v>46312.4583333333</v>
      </c>
      <c r="E80" s="88" t="n">
        <v>4</v>
      </c>
      <c r="F80" s="89" t="n">
        <v>23</v>
      </c>
      <c r="G80" s="90" t="s">
        <v>49</v>
      </c>
      <c r="H80" s="91" t="n">
        <v>0</v>
      </c>
      <c r="I80" s="92"/>
      <c r="J80" s="93"/>
      <c r="K80" s="92"/>
      <c r="L80" s="93"/>
      <c r="M80" s="94" t="str">
        <f aca="false">IF(OR($Q80="",$R80="",$V80=1),"",($R80-$Q80)*24)</f>
        <v/>
      </c>
      <c r="N80" s="95"/>
      <c r="O80" s="96" t="str">
        <f aca="false">IF(OR($B80="",24&gt;$O$10),"",IF($AB80=1,"! CHECK LINK",IF($V80=1,"! CHECK DATES",IF($S80=1,IF($R80="","Completed",IF($R80&lt;$D80,"Completed - Ahead",IF($R80&lt;=$D80+1/1440,"Completed - On Time","Completed - Delayed"))),IF($Q80&lt;&gt;"",IF($Y80&lt;=0.1,"In Progress - On Track","In Progress - BEHIND"),IF($M$5&lt;$C80,"Not Started","NOT STARTED - LATE"))))))</f>
        <v>Not Started</v>
      </c>
      <c r="P80" s="97"/>
      <c r="Q80" s="0" t="str">
        <f aca="false">IF($I80="","",$I80+IF($J80="",0,$J80))</f>
        <v/>
      </c>
      <c r="R80" s="0" t="str">
        <f aca="false">IF($K80="","",$K80+IF($L80="",0,$L80))</f>
        <v/>
      </c>
      <c r="S80" s="4" t="n">
        <f aca="false">IF($V80=1,0,IF($R80&lt;&gt;"",1,IF($N80="",0,$N80)))</f>
        <v>0</v>
      </c>
      <c r="T80" s="4" t="n">
        <f aca="false">IF(OR($B80="",$E80=0),0,MEDIAN(0,($M$5-$C80)/($E80/24),1))</f>
        <v>0</v>
      </c>
      <c r="U80" s="4" t="n">
        <f aca="false">($S80-$T80)*$E80</f>
        <v>0</v>
      </c>
      <c r="V80" s="4" t="n">
        <f aca="false">IF(OR(AND($Q80&lt;&gt;"",$Q80&lt;$C$8),AND($Q80&lt;&gt;"",$R80&lt;&gt;"",$R80&lt;$Q80),AND($R80&lt;&gt;"",$Q80="")),1,0)</f>
        <v>0</v>
      </c>
      <c r="W80" s="98" t="n">
        <f aca="false">IF($B80="","",IF($S80=1,IF($R80&lt;&gt;"",$R80,$D80),IF($Q80&lt;&gt;"",MAX($M$5,$Q80)+$E80*(1-$S80)/24,MAX($M$5,$C80)+$E80/24)))</f>
        <v>46312.4583333333</v>
      </c>
      <c r="X80" s="4" t="n">
        <f aca="false">IF($B80="","",ROUND(($W80-$D80)*24,1))</f>
        <v>0</v>
      </c>
      <c r="Y80" s="4" t="n">
        <f aca="false">IF($B80="","",IF($Q80&lt;&gt;"",$X80,IF($X80&gt;0,MAX($X80,IF($Y79="",0,IF($Y79&gt;0,$Y79-MAX(0,($C80-$D79)*24),$Y79))),IF($Y79="",0,IF($Y79&gt;0,$Y79-MAX(0,($C80-$D79)*24),$Y79)))))</f>
        <v>18</v>
      </c>
      <c r="AB80" s="4" t="n">
        <f aca="false">IF(AND($B80&lt;&gt;"",$F80&gt;=24),1,0)</f>
        <v>0</v>
      </c>
    </row>
    <row r="81" customFormat="false" ht="19.5" hidden="false" customHeight="true" outlineLevel="0" collapsed="false">
      <c r="A81" s="85" t="n">
        <f aca="false">IF(OR($B81="",25&gt;$O$10),"",25)</f>
        <v>25</v>
      </c>
      <c r="B81" s="86" t="s">
        <v>123</v>
      </c>
      <c r="C81" s="87" t="n">
        <f aca="true">IF(OR($B81="",25&gt;$O$10),"",IF($F81=0,$C$8,IF($G81="SS",OFFSET($C$56,$F81,0)+$H81/24,IF($G81="FF",OFFSET($D$56,$F81,0)+$H81/24-$E81/24,IF($G81="SF",OFFSET($C$56,$F81,0)+$H81/24-$E81/24,OFFSET($D$56,$F81,0)+$H81/24)))))</f>
        <v>46312.4583333333</v>
      </c>
      <c r="D81" s="87" t="n">
        <f aca="false">IF(OR($B81="",25&gt;$O$10),"",$C81+$E81/24)</f>
        <v>46312.625</v>
      </c>
      <c r="E81" s="88" t="n">
        <v>4</v>
      </c>
      <c r="F81" s="89" t="n">
        <v>24</v>
      </c>
      <c r="G81" s="90" t="s">
        <v>49</v>
      </c>
      <c r="H81" s="91" t="n">
        <v>0</v>
      </c>
      <c r="I81" s="92"/>
      <c r="J81" s="93"/>
      <c r="K81" s="92"/>
      <c r="L81" s="93"/>
      <c r="M81" s="94" t="str">
        <f aca="false">IF(OR($Q81="",$R81="",$V81=1),"",($R81-$Q81)*24)</f>
        <v/>
      </c>
      <c r="N81" s="95"/>
      <c r="O81" s="96" t="str">
        <f aca="false">IF(OR($B81="",25&gt;$O$10),"",IF($AB81=1,"! CHECK LINK",IF($V81=1,"! CHECK DATES",IF($S81=1,IF($R81="","Completed",IF($R81&lt;$D81,"Completed - Ahead",IF($R81&lt;=$D81+1/1440,"Completed - On Time","Completed - Delayed"))),IF($Q81&lt;&gt;"",IF($Y81&lt;=0.1,"In Progress - On Track","In Progress - BEHIND"),IF($M$5&lt;$C81,"Not Started","NOT STARTED - LATE"))))))</f>
        <v>Not Started</v>
      </c>
      <c r="P81" s="97"/>
      <c r="Q81" s="0" t="str">
        <f aca="false">IF($I81="","",$I81+IF($J81="",0,$J81))</f>
        <v/>
      </c>
      <c r="R81" s="0" t="str">
        <f aca="false">IF($K81="","",$K81+IF($L81="",0,$L81))</f>
        <v/>
      </c>
      <c r="S81" s="4" t="n">
        <f aca="false">IF($V81=1,0,IF($R81&lt;&gt;"",1,IF($N81="",0,$N81)))</f>
        <v>0</v>
      </c>
      <c r="T81" s="4" t="n">
        <f aca="false">IF(OR($B81="",$E81=0),0,MEDIAN(0,($M$5-$C81)/($E81/24),1))</f>
        <v>0</v>
      </c>
      <c r="U81" s="4" t="n">
        <f aca="false">($S81-$T81)*$E81</f>
        <v>0</v>
      </c>
      <c r="V81" s="4" t="n">
        <f aca="false">IF(OR(AND($Q81&lt;&gt;"",$Q81&lt;$C$8),AND($Q81&lt;&gt;"",$R81&lt;&gt;"",$R81&lt;$Q81),AND($R81&lt;&gt;"",$Q81="")),1,0)</f>
        <v>0</v>
      </c>
      <c r="W81" s="98" t="n">
        <f aca="false">IF($B81="","",IF($S81=1,IF($R81&lt;&gt;"",$R81,$D81),IF($Q81&lt;&gt;"",MAX($M$5,$Q81)+$E81*(1-$S81)/24,MAX($M$5,$C81)+$E81/24)))</f>
        <v>46312.625</v>
      </c>
      <c r="X81" s="4" t="n">
        <f aca="false">IF($B81="","",ROUND(($W81-$D81)*24,1))</f>
        <v>0</v>
      </c>
      <c r="Y81" s="4" t="n">
        <f aca="false">IF($B81="","",IF($Q81&lt;&gt;"",$X81,IF($X81&gt;0,MAX($X81,IF($Y80="",0,IF($Y80&gt;0,$Y80-MAX(0,($C81-$D80)*24),$Y80))),IF($Y80="",0,IF($Y80&gt;0,$Y80-MAX(0,($C81-$D80)*24),$Y80)))))</f>
        <v>18</v>
      </c>
      <c r="AB81" s="4" t="n">
        <f aca="false">IF(AND($B81&lt;&gt;"",$F81&gt;=25),1,0)</f>
        <v>0</v>
      </c>
    </row>
    <row r="82" customFormat="false" ht="19.5" hidden="false" customHeight="true" outlineLevel="0" collapsed="false">
      <c r="A82" s="85" t="n">
        <f aca="false">IF(OR($B82="",26&gt;$O$10),"",26)</f>
        <v>26</v>
      </c>
      <c r="B82" s="86" t="s">
        <v>124</v>
      </c>
      <c r="C82" s="87" t="n">
        <f aca="true">IF(OR($B82="",26&gt;$O$10),"",IF($F82=0,$C$8,IF($G82="SS",OFFSET($C$56,$F82,0)+$H82/24,IF($G82="FF",OFFSET($D$56,$F82,0)+$H82/24-$E82/24,IF($G82="SF",OFFSET($C$56,$F82,0)+$H82/24-$E82/24,OFFSET($D$56,$F82,0)+$H82/24)))))</f>
        <v>46312.625</v>
      </c>
      <c r="D82" s="87" t="n">
        <f aca="false">IF(OR($B82="",26&gt;$O$10),"",$C82+$E82/24)</f>
        <v>46312.9166666667</v>
      </c>
      <c r="E82" s="88" t="n">
        <v>7</v>
      </c>
      <c r="F82" s="89" t="n">
        <v>25</v>
      </c>
      <c r="G82" s="90" t="s">
        <v>49</v>
      </c>
      <c r="H82" s="91" t="n">
        <v>0</v>
      </c>
      <c r="I82" s="92"/>
      <c r="J82" s="93"/>
      <c r="K82" s="92"/>
      <c r="L82" s="93"/>
      <c r="M82" s="94" t="str">
        <f aca="false">IF(OR($Q82="",$R82="",$V82=1),"",($R82-$Q82)*24)</f>
        <v/>
      </c>
      <c r="N82" s="95"/>
      <c r="O82" s="96" t="str">
        <f aca="false">IF(OR($B82="",26&gt;$O$10),"",IF($AB82=1,"! CHECK LINK",IF($V82=1,"! CHECK DATES",IF($S82=1,IF($R82="","Completed",IF($R82&lt;$D82,"Completed - Ahead",IF($R82&lt;=$D82+1/1440,"Completed - On Time","Completed - Delayed"))),IF($Q82&lt;&gt;"",IF($Y82&lt;=0.1,"In Progress - On Track","In Progress - BEHIND"),IF($M$5&lt;$C82,"Not Started","NOT STARTED - LATE"))))))</f>
        <v>Not Started</v>
      </c>
      <c r="P82" s="97"/>
      <c r="Q82" s="0" t="str">
        <f aca="false">IF($I82="","",$I82+IF($J82="",0,$J82))</f>
        <v/>
      </c>
      <c r="R82" s="0" t="str">
        <f aca="false">IF($K82="","",$K82+IF($L82="",0,$L82))</f>
        <v/>
      </c>
      <c r="S82" s="4" t="n">
        <f aca="false">IF($V82=1,0,IF($R82&lt;&gt;"",1,IF($N82="",0,$N82)))</f>
        <v>0</v>
      </c>
      <c r="T82" s="4" t="n">
        <f aca="false">IF(OR($B82="",$E82=0),0,MEDIAN(0,($M$5-$C82)/($E82/24),1))</f>
        <v>0</v>
      </c>
      <c r="U82" s="4" t="n">
        <f aca="false">($S82-$T82)*$E82</f>
        <v>0</v>
      </c>
      <c r="V82" s="4" t="n">
        <f aca="false">IF(OR(AND($Q82&lt;&gt;"",$Q82&lt;$C$8),AND($Q82&lt;&gt;"",$R82&lt;&gt;"",$R82&lt;$Q82),AND($R82&lt;&gt;"",$Q82="")),1,0)</f>
        <v>0</v>
      </c>
      <c r="W82" s="98" t="n">
        <f aca="false">IF($B82="","",IF($S82=1,IF($R82&lt;&gt;"",$R82,$D82),IF($Q82&lt;&gt;"",MAX($M$5,$Q82)+$E82*(1-$S82)/24,MAX($M$5,$C82)+$E82/24)))</f>
        <v>46312.9166666667</v>
      </c>
      <c r="X82" s="4" t="n">
        <f aca="false">IF($B82="","",ROUND(($W82-$D82)*24,1))</f>
        <v>0</v>
      </c>
      <c r="Y82" s="4" t="n">
        <f aca="false">IF($B82="","",IF($Q82&lt;&gt;"",$X82,IF($X82&gt;0,MAX($X82,IF($Y81="",0,IF($Y81&gt;0,$Y81-MAX(0,($C82-$D81)*24),$Y81))),IF($Y81="",0,IF($Y81&gt;0,$Y81-MAX(0,($C82-$D81)*24),$Y81)))))</f>
        <v>18</v>
      </c>
      <c r="AB82" s="4" t="n">
        <f aca="false">IF(AND($B82&lt;&gt;"",$F82&gt;=26),1,0)</f>
        <v>0</v>
      </c>
    </row>
    <row r="83" customFormat="false" ht="19.5" hidden="false" customHeight="true" outlineLevel="0" collapsed="false">
      <c r="A83" s="99" t="s">
        <v>125</v>
      </c>
      <c r="B83" s="100" t="str">
        <f aca="false">IF($B$16="","",$B$16&amp;"   -   sum of activity hours")</f>
        <v>C265  –  KM 210+525   -   sum of activity hours</v>
      </c>
      <c r="C83" s="50"/>
      <c r="D83" s="101" t="n">
        <f aca="false">IF(COUNT($D57:$D82)=0,"",MAX($D57:$D82))</f>
        <v>46312.9166666667</v>
      </c>
      <c r="E83" s="102" t="n">
        <f aca="false">SUM($E57:$E82)</f>
        <v>48</v>
      </c>
      <c r="F83" s="50"/>
      <c r="G83" s="50"/>
      <c r="H83" s="50"/>
      <c r="I83" s="50"/>
      <c r="J83" s="50"/>
      <c r="K83" s="50"/>
      <c r="L83" s="50"/>
      <c r="M83" s="102" t="n">
        <f aca="false">SUM($M57:$M82)</f>
        <v>0</v>
      </c>
      <c r="N83" s="103" t="n">
        <f aca="false">$S83</f>
        <v>0</v>
      </c>
      <c r="O83" s="99" t="str">
        <f aca="false">IF($B$16="","",IF($X83&lt;=0,"ON TRACK","BEHIND"))</f>
        <v>BEHIND</v>
      </c>
      <c r="P83" s="50"/>
      <c r="S83" s="4" t="n">
        <f aca="false">IF($E83=0,0,SUMPRODUCT($E57:$E82,$S57:$S82)/$E83)</f>
        <v>0</v>
      </c>
      <c r="T83" s="4" t="n">
        <f aca="false">IF($E83=0,0,SUMPRODUCT($E57:$E82,$T57:$T82)/$E83)</f>
        <v>0.416666666666667</v>
      </c>
      <c r="U83" s="4" t="n">
        <f aca="false">$S83-$T83</f>
        <v>-0.416666666666667</v>
      </c>
      <c r="W83" s="98" t="n">
        <f aca="false">IF($D83="","",$D83+$X83/24)</f>
        <v>46313.6666666667</v>
      </c>
      <c r="X83" s="4" t="n">
        <f aca="false">IF(COUNT($Y57:$Y82)=0,0,LOOKUP(9.9E+307,$Y57:$Y82))</f>
        <v>18</v>
      </c>
    </row>
    <row r="85" customFormat="false" ht="24" hidden="false" customHeight="true" outlineLevel="0" collapsed="false">
      <c r="A85" s="83" t="str">
        <f aca="false">IF($B$17="","LOCATION 3  -  not used","   LOCATION 3  -  "&amp;$B$17)</f>
        <v>   LOCATION 3  -  C267  –  KM 212+400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</row>
    <row r="86" customFormat="false" ht="30" hidden="false" customHeight="true" outlineLevel="0" collapsed="false">
      <c r="A86" s="11" t="s">
        <v>24</v>
      </c>
      <c r="B86" s="11" t="s">
        <v>85</v>
      </c>
      <c r="C86" s="11" t="s">
        <v>86</v>
      </c>
      <c r="D86" s="11" t="s">
        <v>9</v>
      </c>
      <c r="E86" s="11" t="s">
        <v>87</v>
      </c>
      <c r="F86" s="11" t="s">
        <v>88</v>
      </c>
      <c r="G86" s="11" t="s">
        <v>89</v>
      </c>
      <c r="H86" s="11" t="s">
        <v>90</v>
      </c>
      <c r="I86" s="84" t="s">
        <v>91</v>
      </c>
      <c r="J86" s="84" t="s">
        <v>92</v>
      </c>
      <c r="K86" s="84" t="s">
        <v>93</v>
      </c>
      <c r="L86" s="84" t="s">
        <v>94</v>
      </c>
      <c r="M86" s="11" t="s">
        <v>95</v>
      </c>
      <c r="N86" s="84" t="s">
        <v>96</v>
      </c>
      <c r="O86" s="11" t="s">
        <v>97</v>
      </c>
      <c r="P86" s="84" t="s">
        <v>98</v>
      </c>
    </row>
    <row r="87" customFormat="false" ht="19.5" hidden="false" customHeight="true" outlineLevel="0" collapsed="false">
      <c r="A87" s="85" t="n">
        <f aca="false">IF(OR($B87="",1&gt;$O$10),"",1)</f>
        <v>1</v>
      </c>
      <c r="B87" s="86" t="s">
        <v>126</v>
      </c>
      <c r="C87" s="87" t="n">
        <f aca="true">IF(OR($B87="",1&gt;$O$10),"",IF($F87=0,$C$8,IF($G87="SS",OFFSET($C$86,$F87,0)+$H87/24,IF($G87="FF",OFFSET($D$86,$F87,0)+$H87/24-$E87/24,IF($G87="SF",OFFSET($C$86,$F87,0)+$H87/24-$E87/24,OFFSET($D$86,$F87,0)+$H87/24)))))</f>
        <v>46311</v>
      </c>
      <c r="D87" s="87" t="n">
        <f aca="false">IF(OR($B87="",1&gt;$O$10),"",$C87+$E87/24)</f>
        <v>46311.0416666667</v>
      </c>
      <c r="E87" s="88" t="n">
        <v>1</v>
      </c>
      <c r="F87" s="89" t="n">
        <v>0</v>
      </c>
      <c r="G87" s="90" t="s">
        <v>49</v>
      </c>
      <c r="H87" s="91" t="n">
        <v>0</v>
      </c>
      <c r="I87" s="92"/>
      <c r="J87" s="93"/>
      <c r="K87" s="92"/>
      <c r="L87" s="93"/>
      <c r="M87" s="94" t="str">
        <f aca="false">IF(OR($Q87="",$R87="",$V87=1),"",($R87-$Q87)*24)</f>
        <v/>
      </c>
      <c r="N87" s="95"/>
      <c r="O87" s="96" t="str">
        <f aca="false">IF(OR($B87="",1&gt;$O$10),"",IF($AB87=1,"! CHECK LINK",IF($V87=1,"! CHECK DATES",IF($S87=1,IF($R87="","Completed",IF($R87&lt;$D87,"Completed - Ahead",IF($R87&lt;=$D87+1/1440,"Completed - On Time","Completed - Delayed"))),IF($Q87&lt;&gt;"",IF($Y87&lt;=0.1,"In Progress - On Track","In Progress - BEHIND"),IF($M$5&lt;$C87,"Not Started","NOT STARTED - LATE"))))))</f>
        <v>NOT STARTED - LATE</v>
      </c>
      <c r="P87" s="97"/>
      <c r="Q87" s="0" t="str">
        <f aca="false">IF($I87="","",$I87+IF($J87="",0,$J87))</f>
        <v/>
      </c>
      <c r="R87" s="0" t="str">
        <f aca="false">IF($K87="","",$K87+IF($L87="",0,$L87))</f>
        <v/>
      </c>
      <c r="S87" s="4" t="n">
        <f aca="false">IF($V87=1,0,IF($R87&lt;&gt;"",1,IF($N87="",0,$N87)))</f>
        <v>0</v>
      </c>
      <c r="T87" s="4" t="n">
        <f aca="false">IF(OR($B87="",$E87=0),0,MEDIAN(0,($M$5-$C87)/($E87/24),1))</f>
        <v>1</v>
      </c>
      <c r="U87" s="4" t="n">
        <f aca="false">($S87-$T87)*$E87</f>
        <v>-1</v>
      </c>
      <c r="V87" s="4" t="n">
        <f aca="false">IF(OR(AND($Q87&lt;&gt;"",$Q87&lt;$C$8),AND($Q87&lt;&gt;"",$R87&lt;&gt;"",$R87&lt;$Q87),AND($R87&lt;&gt;"",$Q87="")),1,0)</f>
        <v>0</v>
      </c>
      <c r="W87" s="98" t="n">
        <f aca="false">IF($B87="","",IF($S87=1,IF($R87&lt;&gt;"",$R87,$D87),IF($Q87&lt;&gt;"",MAX($M$5,$Q87)+$E87*(1-$S87)/24,MAX($M$5,$C87)+$E87/24)))</f>
        <v>46311.7916666667</v>
      </c>
      <c r="X87" s="4" t="n">
        <f aca="false">IF($B87="","",ROUND(($W87-$D87)*24,1))</f>
        <v>18</v>
      </c>
      <c r="Y87" s="4" t="n">
        <f aca="false">IF($B87="","",$X87)</f>
        <v>18</v>
      </c>
      <c r="AB87" s="4" t="n">
        <f aca="false">IF(AND($B87&lt;&gt;"",$F87&gt;=1),1,0)</f>
        <v>0</v>
      </c>
    </row>
    <row r="88" customFormat="false" ht="19.5" hidden="false" customHeight="true" outlineLevel="0" collapsed="false">
      <c r="A88" s="85" t="n">
        <f aca="false">IF(OR($B88="",2&gt;$O$10),"",2)</f>
        <v>2</v>
      </c>
      <c r="B88" s="86" t="s">
        <v>100</v>
      </c>
      <c r="C88" s="87" t="n">
        <f aca="true">IF(OR($B88="",2&gt;$O$10),"",IF($F88=0,$C$8,IF($G88="SS",OFFSET($C$86,$F88,0)+$H88/24,IF($G88="FF",OFFSET($D$86,$F88,0)+$H88/24-$E88/24,IF($G88="SF",OFFSET($C$86,$F88,0)+$H88/24-$E88/24,OFFSET($D$86,$F88,0)+$H88/24)))))</f>
        <v>46311.0416666667</v>
      </c>
      <c r="D88" s="87" t="n">
        <f aca="false">IF(OR($B88="",2&gt;$O$10),"",$C88+$E88/24)</f>
        <v>46311.0833333333</v>
      </c>
      <c r="E88" s="88" t="n">
        <v>1</v>
      </c>
      <c r="F88" s="89" t="n">
        <v>1</v>
      </c>
      <c r="G88" s="90" t="s">
        <v>49</v>
      </c>
      <c r="H88" s="91" t="n">
        <v>0</v>
      </c>
      <c r="I88" s="92"/>
      <c r="J88" s="93"/>
      <c r="K88" s="92"/>
      <c r="L88" s="93"/>
      <c r="M88" s="94" t="str">
        <f aca="false">IF(OR($Q88="",$R88="",$V88=1),"",($R88-$Q88)*24)</f>
        <v/>
      </c>
      <c r="N88" s="95"/>
      <c r="O88" s="96" t="str">
        <f aca="false">IF(OR($B88="",2&gt;$O$10),"",IF($AB88=1,"! CHECK LINK",IF($V88=1,"! CHECK DATES",IF($S88=1,IF($R88="","Completed",IF($R88&lt;$D88,"Completed - Ahead",IF($R88&lt;=$D88+1/1440,"Completed - On Time","Completed - Delayed"))),IF($Q88&lt;&gt;"",IF($Y88&lt;=0.1,"In Progress - On Track","In Progress - BEHIND"),IF($M$5&lt;$C88,"Not Started","NOT STARTED - LATE"))))))</f>
        <v>NOT STARTED - LATE</v>
      </c>
      <c r="P88" s="97"/>
      <c r="Q88" s="0" t="str">
        <f aca="false">IF($I88="","",$I88+IF($J88="",0,$J88))</f>
        <v/>
      </c>
      <c r="R88" s="0" t="str">
        <f aca="false">IF($K88="","",$K88+IF($L88="",0,$L88))</f>
        <v/>
      </c>
      <c r="S88" s="4" t="n">
        <f aca="false">IF($V88=1,0,IF($R88&lt;&gt;"",1,IF($N88="",0,$N88)))</f>
        <v>0</v>
      </c>
      <c r="T88" s="4" t="n">
        <f aca="false">IF(OR($B88="",$E88=0),0,MEDIAN(0,($M$5-$C88)/($E88/24),1))</f>
        <v>1</v>
      </c>
      <c r="U88" s="4" t="n">
        <f aca="false">($S88-$T88)*$E88</f>
        <v>-1</v>
      </c>
      <c r="V88" s="4" t="n">
        <f aca="false">IF(OR(AND($Q88&lt;&gt;"",$Q88&lt;$C$8),AND($Q88&lt;&gt;"",$R88&lt;&gt;"",$R88&lt;$Q88),AND($R88&lt;&gt;"",$Q88="")),1,0)</f>
        <v>0</v>
      </c>
      <c r="W88" s="98" t="n">
        <f aca="false">IF($B88="","",IF($S88=1,IF($R88&lt;&gt;"",$R88,$D88),IF($Q88&lt;&gt;"",MAX($M$5,$Q88)+$E88*(1-$S88)/24,MAX($M$5,$C88)+$E88/24)))</f>
        <v>46311.7916666667</v>
      </c>
      <c r="X88" s="4" t="n">
        <f aca="false">IF($B88="","",ROUND(($W88-$D88)*24,1))</f>
        <v>17</v>
      </c>
      <c r="Y88" s="4" t="n">
        <f aca="false">IF($B88="","",IF($Q88&lt;&gt;"",$X88,IF($X88&gt;0,MAX($X88,IF($Y87="",0,IF($Y87&gt;0,$Y87-MAX(0,($C88-$D87)*24),$Y87))),IF($Y87="",0,IF($Y87&gt;0,$Y87-MAX(0,($C88-$D87)*24),$Y87)))))</f>
        <v>18</v>
      </c>
      <c r="AB88" s="4" t="n">
        <f aca="false">IF(AND($B88&lt;&gt;"",$F88&gt;=2),1,0)</f>
        <v>0</v>
      </c>
    </row>
    <row r="89" customFormat="false" ht="19.5" hidden="false" customHeight="true" outlineLevel="0" collapsed="false">
      <c r="A89" s="85" t="n">
        <f aca="false">IF(OR($B89="",3&gt;$O$10),"",3)</f>
        <v>3</v>
      </c>
      <c r="B89" s="86" t="s">
        <v>101</v>
      </c>
      <c r="C89" s="87" t="n">
        <f aca="true">IF(OR($B89="",3&gt;$O$10),"",IF($F89=0,$C$8,IF($G89="SS",OFFSET($C$86,$F89,0)+$H89/24,IF($G89="FF",OFFSET($D$86,$F89,0)+$H89/24-$E89/24,IF($G89="SF",OFFSET($C$86,$F89,0)+$H89/24-$E89/24,OFFSET($D$86,$F89,0)+$H89/24)))))</f>
        <v>46311</v>
      </c>
      <c r="D89" s="87" t="n">
        <f aca="false">IF(OR($B89="",3&gt;$O$10),"",$C89+$E89/24)</f>
        <v>46311.0416666667</v>
      </c>
      <c r="E89" s="88" t="n">
        <v>1</v>
      </c>
      <c r="F89" s="89" t="n">
        <v>1</v>
      </c>
      <c r="G89" s="90" t="s">
        <v>50</v>
      </c>
      <c r="H89" s="91" t="n">
        <v>0</v>
      </c>
      <c r="I89" s="92"/>
      <c r="J89" s="93"/>
      <c r="K89" s="92"/>
      <c r="L89" s="93"/>
      <c r="M89" s="94" t="str">
        <f aca="false">IF(OR($Q89="",$R89="",$V89=1),"",($R89-$Q89)*24)</f>
        <v/>
      </c>
      <c r="N89" s="95"/>
      <c r="O89" s="96" t="str">
        <f aca="false">IF(OR($B89="",3&gt;$O$10),"",IF($AB89=1,"! CHECK LINK",IF($V89=1,"! CHECK DATES",IF($S89=1,IF($R89="","Completed",IF($R89&lt;$D89,"Completed - Ahead",IF($R89&lt;=$D89+1/1440,"Completed - On Time","Completed - Delayed"))),IF($Q89&lt;&gt;"",IF($Y89&lt;=0.1,"In Progress - On Track","In Progress - BEHIND"),IF($M$5&lt;$C89,"Not Started","NOT STARTED - LATE"))))))</f>
        <v>NOT STARTED - LATE</v>
      </c>
      <c r="P89" s="97"/>
      <c r="Q89" s="0" t="str">
        <f aca="false">IF($I89="","",$I89+IF($J89="",0,$J89))</f>
        <v/>
      </c>
      <c r="R89" s="0" t="str">
        <f aca="false">IF($K89="","",$K89+IF($L89="",0,$L89))</f>
        <v/>
      </c>
      <c r="S89" s="4" t="n">
        <f aca="false">IF($V89=1,0,IF($R89&lt;&gt;"",1,IF($N89="",0,$N89)))</f>
        <v>0</v>
      </c>
      <c r="T89" s="4" t="n">
        <f aca="false">IF(OR($B89="",$E89=0),0,MEDIAN(0,($M$5-$C89)/($E89/24),1))</f>
        <v>1</v>
      </c>
      <c r="U89" s="4" t="n">
        <f aca="false">($S89-$T89)*$E89</f>
        <v>-1</v>
      </c>
      <c r="V89" s="4" t="n">
        <f aca="false">IF(OR(AND($Q89&lt;&gt;"",$Q89&lt;$C$8),AND($Q89&lt;&gt;"",$R89&lt;&gt;"",$R89&lt;$Q89),AND($R89&lt;&gt;"",$Q89="")),1,0)</f>
        <v>0</v>
      </c>
      <c r="W89" s="98" t="n">
        <f aca="false">IF($B89="","",IF($S89=1,IF($R89&lt;&gt;"",$R89,$D89),IF($Q89&lt;&gt;"",MAX($M$5,$Q89)+$E89*(1-$S89)/24,MAX($M$5,$C89)+$E89/24)))</f>
        <v>46311.7916666667</v>
      </c>
      <c r="X89" s="4" t="n">
        <f aca="false">IF($B89="","",ROUND(($W89-$D89)*24,1))</f>
        <v>18</v>
      </c>
      <c r="Y89" s="4" t="n">
        <f aca="false">IF($B89="","",IF($Q89&lt;&gt;"",$X89,IF($X89&gt;0,MAX($X89,IF($Y88="",0,IF($Y88&gt;0,$Y88-MAX(0,($C89-$D88)*24),$Y88))),IF($Y88="",0,IF($Y88&gt;0,$Y88-MAX(0,($C89-$D88)*24),$Y88)))))</f>
        <v>18</v>
      </c>
      <c r="AB89" s="4" t="n">
        <f aca="false">IF(AND($B89&lt;&gt;"",$F89&gt;=3),1,0)</f>
        <v>0</v>
      </c>
    </row>
    <row r="90" customFormat="false" ht="19.5" hidden="false" customHeight="true" outlineLevel="0" collapsed="false">
      <c r="A90" s="85" t="n">
        <f aca="false">IF(OR($B90="",4&gt;$O$10),"",4)</f>
        <v>4</v>
      </c>
      <c r="B90" s="86" t="s">
        <v>102</v>
      </c>
      <c r="C90" s="87" t="n">
        <f aca="true">IF(OR($B90="",4&gt;$O$10),"",IF($F90=0,$C$8,IF($G90="SS",OFFSET($C$86,$F90,0)+$H90/24,IF($G90="FF",OFFSET($D$86,$F90,0)+$H90/24-$E90/24,IF($G90="SF",OFFSET($C$86,$F90,0)+$H90/24-$E90/24,OFFSET($D$86,$F90,0)+$H90/24)))))</f>
        <v>46311.0416666667</v>
      </c>
      <c r="D90" s="87" t="n">
        <f aca="false">IF(OR($B90="",4&gt;$O$10),"",$C90+$E90/24)</f>
        <v>46311.0833333333</v>
      </c>
      <c r="E90" s="88" t="n">
        <v>1</v>
      </c>
      <c r="F90" s="89" t="n">
        <v>3</v>
      </c>
      <c r="G90" s="90" t="s">
        <v>49</v>
      </c>
      <c r="H90" s="91" t="n">
        <v>0</v>
      </c>
      <c r="I90" s="92"/>
      <c r="J90" s="93"/>
      <c r="K90" s="92"/>
      <c r="L90" s="93"/>
      <c r="M90" s="94" t="str">
        <f aca="false">IF(OR($Q90="",$R90="",$V90=1),"",($R90-$Q90)*24)</f>
        <v/>
      </c>
      <c r="N90" s="95"/>
      <c r="O90" s="96" t="str">
        <f aca="false">IF(OR($B90="",4&gt;$O$10),"",IF($AB90=1,"! CHECK LINK",IF($V90=1,"! CHECK DATES",IF($S90=1,IF($R90="","Completed",IF($R90&lt;$D90,"Completed - Ahead",IF($R90&lt;=$D90+1/1440,"Completed - On Time","Completed - Delayed"))),IF($Q90&lt;&gt;"",IF($Y90&lt;=0.1,"In Progress - On Track","In Progress - BEHIND"),IF($M$5&lt;$C90,"Not Started","NOT STARTED - LATE"))))))</f>
        <v>NOT STARTED - LATE</v>
      </c>
      <c r="P90" s="97"/>
      <c r="Q90" s="0" t="str">
        <f aca="false">IF($I90="","",$I90+IF($J90="",0,$J90))</f>
        <v/>
      </c>
      <c r="R90" s="0" t="str">
        <f aca="false">IF($K90="","",$K90+IF($L90="",0,$L90))</f>
        <v/>
      </c>
      <c r="S90" s="4" t="n">
        <f aca="false">IF($V90=1,0,IF($R90&lt;&gt;"",1,IF($N90="",0,$N90)))</f>
        <v>0</v>
      </c>
      <c r="T90" s="4" t="n">
        <f aca="false">IF(OR($B90="",$E90=0),0,MEDIAN(0,($M$5-$C90)/($E90/24),1))</f>
        <v>1</v>
      </c>
      <c r="U90" s="4" t="n">
        <f aca="false">($S90-$T90)*$E90</f>
        <v>-1</v>
      </c>
      <c r="V90" s="4" t="n">
        <f aca="false">IF(OR(AND($Q90&lt;&gt;"",$Q90&lt;$C$8),AND($Q90&lt;&gt;"",$R90&lt;&gt;"",$R90&lt;$Q90),AND($R90&lt;&gt;"",$Q90="")),1,0)</f>
        <v>0</v>
      </c>
      <c r="W90" s="98" t="n">
        <f aca="false">IF($B90="","",IF($S90=1,IF($R90&lt;&gt;"",$R90,$D90),IF($Q90&lt;&gt;"",MAX($M$5,$Q90)+$E90*(1-$S90)/24,MAX($M$5,$C90)+$E90/24)))</f>
        <v>46311.7916666667</v>
      </c>
      <c r="X90" s="4" t="n">
        <f aca="false">IF($B90="","",ROUND(($W90-$D90)*24,1))</f>
        <v>17</v>
      </c>
      <c r="Y90" s="4" t="n">
        <f aca="false">IF($B90="","",IF($Q90&lt;&gt;"",$X90,IF($X90&gt;0,MAX($X90,IF($Y89="",0,IF($Y89&gt;0,$Y89-MAX(0,($C90-$D89)*24),$Y89))),IF($Y89="",0,IF($Y89&gt;0,$Y89-MAX(0,($C90-$D89)*24),$Y89)))))</f>
        <v>18</v>
      </c>
      <c r="AB90" s="4" t="n">
        <f aca="false">IF(AND($B90&lt;&gt;"",$F90&gt;=4),1,0)</f>
        <v>0</v>
      </c>
    </row>
    <row r="91" customFormat="false" ht="19.5" hidden="false" customHeight="true" outlineLevel="0" collapsed="false">
      <c r="A91" s="85" t="n">
        <f aca="false">IF(OR($B91="",5&gt;$O$10),"",5)</f>
        <v>5</v>
      </c>
      <c r="B91" s="86" t="s">
        <v>103</v>
      </c>
      <c r="C91" s="87" t="n">
        <f aca="true">IF(OR($B91="",5&gt;$O$10),"",IF($F91=0,$C$8,IF($G91="SS",OFFSET($C$86,$F91,0)+$H91/24,IF($G91="FF",OFFSET($D$86,$F91,0)+$H91/24-$E91/24,IF($G91="SF",OFFSET($C$86,$F91,0)+$H91/24-$E91/24,OFFSET($D$86,$F91,0)+$H91/24)))))</f>
        <v>46311.0833333333</v>
      </c>
      <c r="D91" s="87" t="n">
        <f aca="false">IF(OR($B91="",5&gt;$O$10),"",$C91+$E91/24)</f>
        <v>46311.125</v>
      </c>
      <c r="E91" s="88" t="n">
        <v>1</v>
      </c>
      <c r="F91" s="89" t="n">
        <v>4</v>
      </c>
      <c r="G91" s="90" t="s">
        <v>49</v>
      </c>
      <c r="H91" s="91" t="n">
        <v>0</v>
      </c>
      <c r="I91" s="92"/>
      <c r="J91" s="93"/>
      <c r="K91" s="92"/>
      <c r="L91" s="93"/>
      <c r="M91" s="94" t="str">
        <f aca="false">IF(OR($Q91="",$R91="",$V91=1),"",($R91-$Q91)*24)</f>
        <v/>
      </c>
      <c r="N91" s="95"/>
      <c r="O91" s="96" t="str">
        <f aca="false">IF(OR($B91="",5&gt;$O$10),"",IF($AB91=1,"! CHECK LINK",IF($V91=1,"! CHECK DATES",IF($S91=1,IF($R91="","Completed",IF($R91&lt;$D91,"Completed - Ahead",IF($R91&lt;=$D91+1/1440,"Completed - On Time","Completed - Delayed"))),IF($Q91&lt;&gt;"",IF($Y91&lt;=0.1,"In Progress - On Track","In Progress - BEHIND"),IF($M$5&lt;$C91,"Not Started","NOT STARTED - LATE"))))))</f>
        <v>NOT STARTED - LATE</v>
      </c>
      <c r="P91" s="97"/>
      <c r="Q91" s="0" t="str">
        <f aca="false">IF($I91="","",$I91+IF($J91="",0,$J91))</f>
        <v/>
      </c>
      <c r="R91" s="0" t="str">
        <f aca="false">IF($K91="","",$K91+IF($L91="",0,$L91))</f>
        <v/>
      </c>
      <c r="S91" s="4" t="n">
        <f aca="false">IF($V91=1,0,IF($R91&lt;&gt;"",1,IF($N91="",0,$N91)))</f>
        <v>0</v>
      </c>
      <c r="T91" s="4" t="n">
        <f aca="false">IF(OR($B91="",$E91=0),0,MEDIAN(0,($M$5-$C91)/($E91/24),1))</f>
        <v>1</v>
      </c>
      <c r="U91" s="4" t="n">
        <f aca="false">($S91-$T91)*$E91</f>
        <v>-1</v>
      </c>
      <c r="V91" s="4" t="n">
        <f aca="false">IF(OR(AND($Q91&lt;&gt;"",$Q91&lt;$C$8),AND($Q91&lt;&gt;"",$R91&lt;&gt;"",$R91&lt;$Q91),AND($R91&lt;&gt;"",$Q91="")),1,0)</f>
        <v>0</v>
      </c>
      <c r="W91" s="98" t="n">
        <f aca="false">IF($B91="","",IF($S91=1,IF($R91&lt;&gt;"",$R91,$D91),IF($Q91&lt;&gt;"",MAX($M$5,$Q91)+$E91*(1-$S91)/24,MAX($M$5,$C91)+$E91/24)))</f>
        <v>46311.7916666667</v>
      </c>
      <c r="X91" s="4" t="n">
        <f aca="false">IF($B91="","",ROUND(($W91-$D91)*24,1))</f>
        <v>16</v>
      </c>
      <c r="Y91" s="4" t="n">
        <f aca="false">IF($B91="","",IF($Q91&lt;&gt;"",$X91,IF($X91&gt;0,MAX($X91,IF($Y90="",0,IF($Y90&gt;0,$Y90-MAX(0,($C91-$D90)*24),$Y90))),IF($Y90="",0,IF($Y90&gt;0,$Y90-MAX(0,($C91-$D90)*24),$Y90)))))</f>
        <v>18</v>
      </c>
      <c r="AB91" s="4" t="n">
        <f aca="false">IF(AND($B91&lt;&gt;"",$F91&gt;=5),1,0)</f>
        <v>0</v>
      </c>
    </row>
    <row r="92" customFormat="false" ht="19.5" hidden="false" customHeight="true" outlineLevel="0" collapsed="false">
      <c r="A92" s="85" t="n">
        <f aca="false">IF(OR($B92="",6&gt;$O$10),"",6)</f>
        <v>6</v>
      </c>
      <c r="B92" s="86" t="s">
        <v>104</v>
      </c>
      <c r="C92" s="87" t="n">
        <f aca="true">IF(OR($B92="",6&gt;$O$10),"",IF($F92=0,$C$8,IF($G92="SS",OFFSET($C$86,$F92,0)+$H92/24,IF($G92="FF",OFFSET($D$86,$F92,0)+$H92/24-$E92/24,IF($G92="SF",OFFSET($C$86,$F92,0)+$H92/24-$E92/24,OFFSET($D$86,$F92,0)+$H92/24)))))</f>
        <v>46311.125</v>
      </c>
      <c r="D92" s="87" t="n">
        <f aca="false">IF(OR($B92="",6&gt;$O$10),"",$C92+$E92/24)</f>
        <v>46311.2083333333</v>
      </c>
      <c r="E92" s="88" t="n">
        <v>2</v>
      </c>
      <c r="F92" s="89" t="n">
        <v>5</v>
      </c>
      <c r="G92" s="90" t="s">
        <v>49</v>
      </c>
      <c r="H92" s="91" t="n">
        <v>0</v>
      </c>
      <c r="I92" s="92"/>
      <c r="J92" s="93"/>
      <c r="K92" s="92"/>
      <c r="L92" s="93"/>
      <c r="M92" s="94" t="str">
        <f aca="false">IF(OR($Q92="",$R92="",$V92=1),"",($R92-$Q92)*24)</f>
        <v/>
      </c>
      <c r="N92" s="95"/>
      <c r="O92" s="96" t="str">
        <f aca="false">IF(OR($B92="",6&gt;$O$10),"",IF($AB92=1,"! CHECK LINK",IF($V92=1,"! CHECK DATES",IF($S92=1,IF($R92="","Completed",IF($R92&lt;$D92,"Completed - Ahead",IF($R92&lt;=$D92+1/1440,"Completed - On Time","Completed - Delayed"))),IF($Q92&lt;&gt;"",IF($Y92&lt;=0.1,"In Progress - On Track","In Progress - BEHIND"),IF($M$5&lt;$C92,"Not Started","NOT STARTED - LATE"))))))</f>
        <v>NOT STARTED - LATE</v>
      </c>
      <c r="P92" s="97"/>
      <c r="Q92" s="0" t="str">
        <f aca="false">IF($I92="","",$I92+IF($J92="",0,$J92))</f>
        <v/>
      </c>
      <c r="R92" s="0" t="str">
        <f aca="false">IF($K92="","",$K92+IF($L92="",0,$L92))</f>
        <v/>
      </c>
      <c r="S92" s="4" t="n">
        <f aca="false">IF($V92=1,0,IF($R92&lt;&gt;"",1,IF($N92="",0,$N92)))</f>
        <v>0</v>
      </c>
      <c r="T92" s="4" t="n">
        <f aca="false">IF(OR($B92="",$E92=0),0,MEDIAN(0,($M$5-$C92)/($E92/24),1))</f>
        <v>1</v>
      </c>
      <c r="U92" s="4" t="n">
        <f aca="false">($S92-$T92)*$E92</f>
        <v>-2</v>
      </c>
      <c r="V92" s="4" t="n">
        <f aca="false">IF(OR(AND($Q92&lt;&gt;"",$Q92&lt;$C$8),AND($Q92&lt;&gt;"",$R92&lt;&gt;"",$R92&lt;$Q92),AND($R92&lt;&gt;"",$Q92="")),1,0)</f>
        <v>0</v>
      </c>
      <c r="W92" s="98" t="n">
        <f aca="false">IF($B92="","",IF($S92=1,IF($R92&lt;&gt;"",$R92,$D92),IF($Q92&lt;&gt;"",MAX($M$5,$Q92)+$E92*(1-$S92)/24,MAX($M$5,$C92)+$E92/24)))</f>
        <v>46311.8333333333</v>
      </c>
      <c r="X92" s="4" t="n">
        <f aca="false">IF($B92="","",ROUND(($W92-$D92)*24,1))</f>
        <v>15</v>
      </c>
      <c r="Y92" s="4" t="n">
        <f aca="false">IF($B92="","",IF($Q92&lt;&gt;"",$X92,IF($X92&gt;0,MAX($X92,IF($Y91="",0,IF($Y91&gt;0,$Y91-MAX(0,($C92-$D91)*24),$Y91))),IF($Y91="",0,IF($Y91&gt;0,$Y91-MAX(0,($C92-$D91)*24),$Y91)))))</f>
        <v>18</v>
      </c>
      <c r="AB92" s="4" t="n">
        <f aca="false">IF(AND($B92&lt;&gt;"",$F92&gt;=6),1,0)</f>
        <v>0</v>
      </c>
    </row>
    <row r="93" customFormat="false" ht="19.5" hidden="false" customHeight="true" outlineLevel="0" collapsed="false">
      <c r="A93" s="85" t="n">
        <f aca="false">IF(OR($B93="",7&gt;$O$10),"",7)</f>
        <v>7</v>
      </c>
      <c r="B93" s="86" t="s">
        <v>105</v>
      </c>
      <c r="C93" s="87" t="n">
        <f aca="true">IF(OR($B93="",7&gt;$O$10),"",IF($F93=0,$C$8,IF($G93="SS",OFFSET($C$86,$F93,0)+$H93/24,IF($G93="FF",OFFSET($D$86,$F93,0)+$H93/24-$E93/24,IF($G93="SF",OFFSET($C$86,$F93,0)+$H93/24-$E93/24,OFFSET($D$86,$F93,0)+$H93/24)))))</f>
        <v>46311.2083333333</v>
      </c>
      <c r="D93" s="87" t="n">
        <f aca="false">IF(OR($B93="",7&gt;$O$10),"",$C93+$E93/24)</f>
        <v>46311.2916666667</v>
      </c>
      <c r="E93" s="88" t="n">
        <v>2</v>
      </c>
      <c r="F93" s="89" t="n">
        <v>6</v>
      </c>
      <c r="G93" s="90" t="s">
        <v>49</v>
      </c>
      <c r="H93" s="91" t="n">
        <v>0</v>
      </c>
      <c r="I93" s="92"/>
      <c r="J93" s="93"/>
      <c r="K93" s="92"/>
      <c r="L93" s="93"/>
      <c r="M93" s="94" t="str">
        <f aca="false">IF(OR($Q93="",$R93="",$V93=1),"",($R93-$Q93)*24)</f>
        <v/>
      </c>
      <c r="N93" s="95"/>
      <c r="O93" s="96" t="str">
        <f aca="false">IF(OR($B93="",7&gt;$O$10),"",IF($AB93=1,"! CHECK LINK",IF($V93=1,"! CHECK DATES",IF($S93=1,IF($R93="","Completed",IF($R93&lt;$D93,"Completed - Ahead",IF($R93&lt;=$D93+1/1440,"Completed - On Time","Completed - Delayed"))),IF($Q93&lt;&gt;"",IF($Y93&lt;=0.1,"In Progress - On Track","In Progress - BEHIND"),IF($M$5&lt;$C93,"Not Started","NOT STARTED - LATE"))))))</f>
        <v>NOT STARTED - LATE</v>
      </c>
      <c r="P93" s="97"/>
      <c r="Q93" s="0" t="str">
        <f aca="false">IF($I93="","",$I93+IF($J93="",0,$J93))</f>
        <v/>
      </c>
      <c r="R93" s="0" t="str">
        <f aca="false">IF($K93="","",$K93+IF($L93="",0,$L93))</f>
        <v/>
      </c>
      <c r="S93" s="4" t="n">
        <f aca="false">IF($V93=1,0,IF($R93&lt;&gt;"",1,IF($N93="",0,$N93)))</f>
        <v>0</v>
      </c>
      <c r="T93" s="4" t="n">
        <f aca="false">IF(OR($B93="",$E93=0),0,MEDIAN(0,($M$5-$C93)/($E93/24),1))</f>
        <v>1</v>
      </c>
      <c r="U93" s="4" t="n">
        <f aca="false">($S93-$T93)*$E93</f>
        <v>-2</v>
      </c>
      <c r="V93" s="4" t="n">
        <f aca="false">IF(OR(AND($Q93&lt;&gt;"",$Q93&lt;$C$8),AND($Q93&lt;&gt;"",$R93&lt;&gt;"",$R93&lt;$Q93),AND($R93&lt;&gt;"",$Q93="")),1,0)</f>
        <v>0</v>
      </c>
      <c r="W93" s="98" t="n">
        <f aca="false">IF($B93="","",IF($S93=1,IF($R93&lt;&gt;"",$R93,$D93),IF($Q93&lt;&gt;"",MAX($M$5,$Q93)+$E93*(1-$S93)/24,MAX($M$5,$C93)+$E93/24)))</f>
        <v>46311.8333333333</v>
      </c>
      <c r="X93" s="4" t="n">
        <f aca="false">IF($B93="","",ROUND(($W93-$D93)*24,1))</f>
        <v>13</v>
      </c>
      <c r="Y93" s="4" t="n">
        <f aca="false">IF($B93="","",IF($Q93&lt;&gt;"",$X93,IF($X93&gt;0,MAX($X93,IF($Y92="",0,IF($Y92&gt;0,$Y92-MAX(0,($C93-$D92)*24),$Y92))),IF($Y92="",0,IF($Y92&gt;0,$Y92-MAX(0,($C93-$D92)*24),$Y92)))))</f>
        <v>18</v>
      </c>
      <c r="AB93" s="4" t="n">
        <f aca="false">IF(AND($B93&lt;&gt;"",$F93&gt;=7),1,0)</f>
        <v>0</v>
      </c>
    </row>
    <row r="94" customFormat="false" ht="19.5" hidden="false" customHeight="true" outlineLevel="0" collapsed="false">
      <c r="A94" s="85" t="n">
        <f aca="false">IF(OR($B94="",8&gt;$O$10),"",8)</f>
        <v>8</v>
      </c>
      <c r="B94" s="86" t="s">
        <v>106</v>
      </c>
      <c r="C94" s="87" t="n">
        <f aca="true">IF(OR($B94="",8&gt;$O$10),"",IF($F94=0,$C$8,IF($G94="SS",OFFSET($C$86,$F94,0)+$H94/24,IF($G94="FF",OFFSET($D$86,$F94,0)+$H94/24-$E94/24,IF($G94="SF",OFFSET($C$86,$F94,0)+$H94/24-$E94/24,OFFSET($D$86,$F94,0)+$H94/24)))))</f>
        <v>46311.2916666667</v>
      </c>
      <c r="D94" s="87" t="n">
        <f aca="false">IF(OR($B94="",8&gt;$O$10),"",$C94+$E94/24)</f>
        <v>46311.4166666667</v>
      </c>
      <c r="E94" s="88" t="n">
        <v>3</v>
      </c>
      <c r="F94" s="89" t="n">
        <v>7</v>
      </c>
      <c r="G94" s="90" t="s">
        <v>49</v>
      </c>
      <c r="H94" s="91" t="n">
        <v>0</v>
      </c>
      <c r="I94" s="92"/>
      <c r="J94" s="93"/>
      <c r="K94" s="92"/>
      <c r="L94" s="93"/>
      <c r="M94" s="94" t="str">
        <f aca="false">IF(OR($Q94="",$R94="",$V94=1),"",($R94-$Q94)*24)</f>
        <v/>
      </c>
      <c r="N94" s="95"/>
      <c r="O94" s="96" t="str">
        <f aca="false">IF(OR($B94="",8&gt;$O$10),"",IF($AB94=1,"! CHECK LINK",IF($V94=1,"! CHECK DATES",IF($S94=1,IF($R94="","Completed",IF($R94&lt;$D94,"Completed - Ahead",IF($R94&lt;=$D94+1/1440,"Completed - On Time","Completed - Delayed"))),IF($Q94&lt;&gt;"",IF($Y94&lt;=0.1,"In Progress - On Track","In Progress - BEHIND"),IF($M$5&lt;$C94,"Not Started","NOT STARTED - LATE"))))))</f>
        <v>NOT STARTED - LATE</v>
      </c>
      <c r="P94" s="97"/>
      <c r="Q94" s="0" t="str">
        <f aca="false">IF($I94="","",$I94+IF($J94="",0,$J94))</f>
        <v/>
      </c>
      <c r="R94" s="0" t="str">
        <f aca="false">IF($K94="","",$K94+IF($L94="",0,$L94))</f>
        <v/>
      </c>
      <c r="S94" s="4" t="n">
        <f aca="false">IF($V94=1,0,IF($R94&lt;&gt;"",1,IF($N94="",0,$N94)))</f>
        <v>0</v>
      </c>
      <c r="T94" s="4" t="n">
        <f aca="false">IF(OR($B94="",$E94=0),0,MEDIAN(0,($M$5-$C94)/($E94/24),1))</f>
        <v>1</v>
      </c>
      <c r="U94" s="4" t="n">
        <f aca="false">($S94-$T94)*$E94</f>
        <v>-3</v>
      </c>
      <c r="V94" s="4" t="n">
        <f aca="false">IF(OR(AND($Q94&lt;&gt;"",$Q94&lt;$C$8),AND($Q94&lt;&gt;"",$R94&lt;&gt;"",$R94&lt;$Q94),AND($R94&lt;&gt;"",$Q94="")),1,0)</f>
        <v>0</v>
      </c>
      <c r="W94" s="98" t="n">
        <f aca="false">IF($B94="","",IF($S94=1,IF($R94&lt;&gt;"",$R94,$D94),IF($Q94&lt;&gt;"",MAX($M$5,$Q94)+$E94*(1-$S94)/24,MAX($M$5,$C94)+$E94/24)))</f>
        <v>46311.875</v>
      </c>
      <c r="X94" s="4" t="n">
        <f aca="false">IF($B94="","",ROUND(($W94-$D94)*24,1))</f>
        <v>11</v>
      </c>
      <c r="Y94" s="4" t="n">
        <f aca="false">IF($B94="","",IF($Q94&lt;&gt;"",$X94,IF($X94&gt;0,MAX($X94,IF($Y93="",0,IF($Y93&gt;0,$Y93-MAX(0,($C94-$D93)*24),$Y93))),IF($Y93="",0,IF($Y93&gt;0,$Y93-MAX(0,($C94-$D93)*24),$Y93)))))</f>
        <v>18</v>
      </c>
      <c r="AB94" s="4" t="n">
        <f aca="false">IF(AND($B94&lt;&gt;"",$F94&gt;=8),1,0)</f>
        <v>0</v>
      </c>
    </row>
    <row r="95" customFormat="false" ht="19.5" hidden="false" customHeight="true" outlineLevel="0" collapsed="false">
      <c r="A95" s="85" t="n">
        <f aca="false">IF(OR($B95="",9&gt;$O$10),"",9)</f>
        <v>9</v>
      </c>
      <c r="B95" s="86" t="s">
        <v>107</v>
      </c>
      <c r="C95" s="87" t="n">
        <f aca="true">IF(OR($B95="",9&gt;$O$10),"",IF($F95=0,$C$8,IF($G95="SS",OFFSET($C$86,$F95,0)+$H95/24,IF($G95="FF",OFFSET($D$86,$F95,0)+$H95/24-$E95/24,IF($G95="SF",OFFSET($C$86,$F95,0)+$H95/24-$E95/24,OFFSET($D$86,$F95,0)+$H95/24)))))</f>
        <v>46311.4166666667</v>
      </c>
      <c r="D95" s="87" t="n">
        <f aca="false">IF(OR($B95="",9&gt;$O$10),"",$C95+$E95/24)</f>
        <v>46311.4583333333</v>
      </c>
      <c r="E95" s="88" t="n">
        <v>1</v>
      </c>
      <c r="F95" s="89" t="n">
        <v>8</v>
      </c>
      <c r="G95" s="90" t="s">
        <v>49</v>
      </c>
      <c r="H95" s="91" t="n">
        <v>0</v>
      </c>
      <c r="I95" s="92"/>
      <c r="J95" s="93"/>
      <c r="K95" s="92"/>
      <c r="L95" s="93"/>
      <c r="M95" s="94" t="str">
        <f aca="false">IF(OR($Q95="",$R95="",$V95=1),"",($R95-$Q95)*24)</f>
        <v/>
      </c>
      <c r="N95" s="95"/>
      <c r="O95" s="96" t="str">
        <f aca="false">IF(OR($B95="",9&gt;$O$10),"",IF($AB95=1,"! CHECK LINK",IF($V95=1,"! CHECK DATES",IF($S95=1,IF($R95="","Completed",IF($R95&lt;$D95,"Completed - Ahead",IF($R95&lt;=$D95+1/1440,"Completed - On Time","Completed - Delayed"))),IF($Q95&lt;&gt;"",IF($Y95&lt;=0.1,"In Progress - On Track","In Progress - BEHIND"),IF($M$5&lt;$C95,"Not Started","NOT STARTED - LATE"))))))</f>
        <v>NOT STARTED - LATE</v>
      </c>
      <c r="P95" s="97"/>
      <c r="Q95" s="0" t="str">
        <f aca="false">IF($I95="","",$I95+IF($J95="",0,$J95))</f>
        <v/>
      </c>
      <c r="R95" s="0" t="str">
        <f aca="false">IF($K95="","",$K95+IF($L95="",0,$L95))</f>
        <v/>
      </c>
      <c r="S95" s="4" t="n">
        <f aca="false">IF($V95=1,0,IF($R95&lt;&gt;"",1,IF($N95="",0,$N95)))</f>
        <v>0</v>
      </c>
      <c r="T95" s="4" t="n">
        <f aca="false">IF(OR($B95="",$E95=0),0,MEDIAN(0,($M$5-$C95)/($E95/24),1))</f>
        <v>1</v>
      </c>
      <c r="U95" s="4" t="n">
        <f aca="false">($S95-$T95)*$E95</f>
        <v>-1</v>
      </c>
      <c r="V95" s="4" t="n">
        <f aca="false">IF(OR(AND($Q95&lt;&gt;"",$Q95&lt;$C$8),AND($Q95&lt;&gt;"",$R95&lt;&gt;"",$R95&lt;$Q95),AND($R95&lt;&gt;"",$Q95="")),1,0)</f>
        <v>0</v>
      </c>
      <c r="W95" s="98" t="n">
        <f aca="false">IF($B95="","",IF($S95=1,IF($R95&lt;&gt;"",$R95,$D95),IF($Q95&lt;&gt;"",MAX($M$5,$Q95)+$E95*(1-$S95)/24,MAX($M$5,$C95)+$E95/24)))</f>
        <v>46311.7916666667</v>
      </c>
      <c r="X95" s="4" t="n">
        <f aca="false">IF($B95="","",ROUND(($W95-$D95)*24,1))</f>
        <v>8</v>
      </c>
      <c r="Y95" s="4" t="n">
        <f aca="false">IF($B95="","",IF($Q95&lt;&gt;"",$X95,IF($X95&gt;0,MAX($X95,IF($Y94="",0,IF($Y94&gt;0,$Y94-MAX(0,($C95-$D94)*24),$Y94))),IF($Y94="",0,IF($Y94&gt;0,$Y94-MAX(0,($C95-$D94)*24),$Y94)))))</f>
        <v>18</v>
      </c>
      <c r="AB95" s="4" t="n">
        <f aca="false">IF(AND($B95&lt;&gt;"",$F95&gt;=9),1,0)</f>
        <v>0</v>
      </c>
    </row>
    <row r="96" customFormat="false" ht="19.5" hidden="false" customHeight="true" outlineLevel="0" collapsed="false">
      <c r="A96" s="85" t="n">
        <f aca="false">IF(OR($B96="",10&gt;$O$10),"",10)</f>
        <v>10</v>
      </c>
      <c r="B96" s="86" t="s">
        <v>108</v>
      </c>
      <c r="C96" s="87" t="n">
        <f aca="true">IF(OR($B96="",10&gt;$O$10),"",IF($F96=0,$C$8,IF($G96="SS",OFFSET($C$86,$F96,0)+$H96/24,IF($G96="FF",OFFSET($D$86,$F96,0)+$H96/24-$E96/24,IF($G96="SF",OFFSET($C$86,$F96,0)+$H96/24-$E96/24,OFFSET($D$86,$F96,0)+$H96/24)))))</f>
        <v>46311.4583333333</v>
      </c>
      <c r="D96" s="87" t="n">
        <f aca="false">IF(OR($B96="",10&gt;$O$10),"",$C96+$E96/24)</f>
        <v>46311.5833333333</v>
      </c>
      <c r="E96" s="88" t="n">
        <v>3</v>
      </c>
      <c r="F96" s="89" t="n">
        <v>9</v>
      </c>
      <c r="G96" s="90" t="s">
        <v>49</v>
      </c>
      <c r="H96" s="91" t="n">
        <v>0</v>
      </c>
      <c r="I96" s="92"/>
      <c r="J96" s="93"/>
      <c r="K96" s="92"/>
      <c r="L96" s="93"/>
      <c r="M96" s="94" t="str">
        <f aca="false">IF(OR($Q96="",$R96="",$V96=1),"",($R96-$Q96)*24)</f>
        <v/>
      </c>
      <c r="N96" s="95"/>
      <c r="O96" s="96" t="str">
        <f aca="false">IF(OR($B96="",10&gt;$O$10),"",IF($AB96=1,"! CHECK LINK",IF($V96=1,"! CHECK DATES",IF($S96=1,IF($R96="","Completed",IF($R96&lt;$D96,"Completed - Ahead",IF($R96&lt;=$D96+1/1440,"Completed - On Time","Completed - Delayed"))),IF($Q96&lt;&gt;"",IF($Y96&lt;=0.1,"In Progress - On Track","In Progress - BEHIND"),IF($M$5&lt;$C96,"Not Started","NOT STARTED - LATE"))))))</f>
        <v>NOT STARTED - LATE</v>
      </c>
      <c r="P96" s="97"/>
      <c r="Q96" s="0" t="str">
        <f aca="false">IF($I96="","",$I96+IF($J96="",0,$J96))</f>
        <v/>
      </c>
      <c r="R96" s="0" t="str">
        <f aca="false">IF($K96="","",$K96+IF($L96="",0,$L96))</f>
        <v/>
      </c>
      <c r="S96" s="4" t="n">
        <f aca="false">IF($V96=1,0,IF($R96&lt;&gt;"",1,IF($N96="",0,$N96)))</f>
        <v>0</v>
      </c>
      <c r="T96" s="4" t="n">
        <f aca="false">IF(OR($B96="",$E96=0),0,MEDIAN(0,($M$5-$C96)/($E96/24),1))</f>
        <v>1</v>
      </c>
      <c r="U96" s="4" t="n">
        <f aca="false">($S96-$T96)*$E96</f>
        <v>-3</v>
      </c>
      <c r="V96" s="4" t="n">
        <f aca="false">IF(OR(AND($Q96&lt;&gt;"",$Q96&lt;$C$8),AND($Q96&lt;&gt;"",$R96&lt;&gt;"",$R96&lt;$Q96),AND($R96&lt;&gt;"",$Q96="")),1,0)</f>
        <v>0</v>
      </c>
      <c r="W96" s="98" t="n">
        <f aca="false">IF($B96="","",IF($S96=1,IF($R96&lt;&gt;"",$R96,$D96),IF($Q96&lt;&gt;"",MAX($M$5,$Q96)+$E96*(1-$S96)/24,MAX($M$5,$C96)+$E96/24)))</f>
        <v>46311.875</v>
      </c>
      <c r="X96" s="4" t="n">
        <f aca="false">IF($B96="","",ROUND(($W96-$D96)*24,1))</f>
        <v>7</v>
      </c>
      <c r="Y96" s="4" t="n">
        <f aca="false">IF($B96="","",IF($Q96&lt;&gt;"",$X96,IF($X96&gt;0,MAX($X96,IF($Y95="",0,IF($Y95&gt;0,$Y95-MAX(0,($C96-$D95)*24),$Y95))),IF($Y95="",0,IF($Y95&gt;0,$Y95-MAX(0,($C96-$D95)*24),$Y95)))))</f>
        <v>18</v>
      </c>
      <c r="AB96" s="4" t="n">
        <f aca="false">IF(AND($B96&lt;&gt;"",$F96&gt;=10),1,0)</f>
        <v>0</v>
      </c>
    </row>
    <row r="97" customFormat="false" ht="19.5" hidden="false" customHeight="true" outlineLevel="0" collapsed="false">
      <c r="A97" s="85" t="n">
        <f aca="false">IF(OR($B97="",11&gt;$O$10),"",11)</f>
        <v>11</v>
      </c>
      <c r="B97" s="86" t="s">
        <v>109</v>
      </c>
      <c r="C97" s="87" t="n">
        <f aca="true">IF(OR($B97="",11&gt;$O$10),"",IF($F97=0,$C$8,IF($G97="SS",OFFSET($C$86,$F97,0)+$H97/24,IF($G97="FF",OFFSET($D$86,$F97,0)+$H97/24-$E97/24,IF($G97="SF",OFFSET($C$86,$F97,0)+$H97/24-$E97/24,OFFSET($D$86,$F97,0)+$H97/24)))))</f>
        <v>46311.5833333333</v>
      </c>
      <c r="D97" s="87" t="n">
        <f aca="false">IF(OR($B97="",11&gt;$O$10),"",$C97+$E97/24)</f>
        <v>46311.625</v>
      </c>
      <c r="E97" s="88" t="n">
        <v>1</v>
      </c>
      <c r="F97" s="89" t="n">
        <v>10</v>
      </c>
      <c r="G97" s="90" t="s">
        <v>49</v>
      </c>
      <c r="H97" s="91" t="n">
        <v>0</v>
      </c>
      <c r="I97" s="92"/>
      <c r="J97" s="93"/>
      <c r="K97" s="92"/>
      <c r="L97" s="93"/>
      <c r="M97" s="94" t="str">
        <f aca="false">IF(OR($Q97="",$R97="",$V97=1),"",($R97-$Q97)*24)</f>
        <v/>
      </c>
      <c r="N97" s="95"/>
      <c r="O97" s="96" t="str">
        <f aca="false">IF(OR($B97="",11&gt;$O$10),"",IF($AB97=1,"! CHECK LINK",IF($V97=1,"! CHECK DATES",IF($S97=1,IF($R97="","Completed",IF($R97&lt;$D97,"Completed - Ahead",IF($R97&lt;=$D97+1/1440,"Completed - On Time","Completed - Delayed"))),IF($Q97&lt;&gt;"",IF($Y97&lt;=0.1,"In Progress - On Track","In Progress - BEHIND"),IF($M$5&lt;$C97,"Not Started","NOT STARTED - LATE"))))))</f>
        <v>NOT STARTED - LATE</v>
      </c>
      <c r="P97" s="97"/>
      <c r="Q97" s="0" t="str">
        <f aca="false">IF($I97="","",$I97+IF($J97="",0,$J97))</f>
        <v/>
      </c>
      <c r="R97" s="0" t="str">
        <f aca="false">IF($K97="","",$K97+IF($L97="",0,$L97))</f>
        <v/>
      </c>
      <c r="S97" s="4" t="n">
        <f aca="false">IF($V97=1,0,IF($R97&lt;&gt;"",1,IF($N97="",0,$N97)))</f>
        <v>0</v>
      </c>
      <c r="T97" s="4" t="n">
        <f aca="false">IF(OR($B97="",$E97=0),0,MEDIAN(0,($M$5-$C97)/($E97/24),1))</f>
        <v>1</v>
      </c>
      <c r="U97" s="4" t="n">
        <f aca="false">($S97-$T97)*$E97</f>
        <v>-1</v>
      </c>
      <c r="V97" s="4" t="n">
        <f aca="false">IF(OR(AND($Q97&lt;&gt;"",$Q97&lt;$C$8),AND($Q97&lt;&gt;"",$R97&lt;&gt;"",$R97&lt;$Q97),AND($R97&lt;&gt;"",$Q97="")),1,0)</f>
        <v>0</v>
      </c>
      <c r="W97" s="98" t="n">
        <f aca="false">IF($B97="","",IF($S97=1,IF($R97&lt;&gt;"",$R97,$D97),IF($Q97&lt;&gt;"",MAX($M$5,$Q97)+$E97*(1-$S97)/24,MAX($M$5,$C97)+$E97/24)))</f>
        <v>46311.7916666667</v>
      </c>
      <c r="X97" s="4" t="n">
        <f aca="false">IF($B97="","",ROUND(($W97-$D97)*24,1))</f>
        <v>4</v>
      </c>
      <c r="Y97" s="4" t="n">
        <f aca="false">IF($B97="","",IF($Q97&lt;&gt;"",$X97,IF($X97&gt;0,MAX($X97,IF($Y96="",0,IF($Y96&gt;0,$Y96-MAX(0,($C97-$D96)*24),$Y96))),IF($Y96="",0,IF($Y96&gt;0,$Y96-MAX(0,($C97-$D96)*24),$Y96)))))</f>
        <v>18</v>
      </c>
      <c r="AB97" s="4" t="n">
        <f aca="false">IF(AND($B97&lt;&gt;"",$F97&gt;=11),1,0)</f>
        <v>0</v>
      </c>
    </row>
    <row r="98" customFormat="false" ht="19.5" hidden="false" customHeight="true" outlineLevel="0" collapsed="false">
      <c r="A98" s="85" t="n">
        <f aca="false">IF(OR($B98="",12&gt;$O$10),"",12)</f>
        <v>12</v>
      </c>
      <c r="B98" s="86" t="s">
        <v>110</v>
      </c>
      <c r="C98" s="87" t="n">
        <f aca="true">IF(OR($B98="",12&gt;$O$10),"",IF($F98=0,$C$8,IF($G98="SS",OFFSET($C$86,$F98,0)+$H98/24,IF($G98="FF",OFFSET($D$86,$F98,0)+$H98/24-$E98/24,IF($G98="SF",OFFSET($C$86,$F98,0)+$H98/24-$E98/24,OFFSET($D$86,$F98,0)+$H98/24)))))</f>
        <v>46311.625</v>
      </c>
      <c r="D98" s="87" t="n">
        <f aca="false">IF(OR($B98="",12&gt;$O$10),"",$C98+$E98/24)</f>
        <v>46311.6666666667</v>
      </c>
      <c r="E98" s="88" t="n">
        <v>1</v>
      </c>
      <c r="F98" s="89" t="n">
        <v>11</v>
      </c>
      <c r="G98" s="90" t="s">
        <v>49</v>
      </c>
      <c r="H98" s="91" t="n">
        <v>0</v>
      </c>
      <c r="I98" s="92"/>
      <c r="J98" s="93"/>
      <c r="K98" s="92"/>
      <c r="L98" s="93"/>
      <c r="M98" s="94" t="str">
        <f aca="false">IF(OR($Q98="",$R98="",$V98=1),"",($R98-$Q98)*24)</f>
        <v/>
      </c>
      <c r="N98" s="95"/>
      <c r="O98" s="96" t="str">
        <f aca="false">IF(OR($B98="",12&gt;$O$10),"",IF($AB98=1,"! CHECK LINK",IF($V98=1,"! CHECK DATES",IF($S98=1,IF($R98="","Completed",IF($R98&lt;$D98,"Completed - Ahead",IF($R98&lt;=$D98+1/1440,"Completed - On Time","Completed - Delayed"))),IF($Q98&lt;&gt;"",IF($Y98&lt;=0.1,"In Progress - On Track","In Progress - BEHIND"),IF($M$5&lt;$C98,"Not Started","NOT STARTED - LATE"))))))</f>
        <v>NOT STARTED - LATE</v>
      </c>
      <c r="P98" s="97"/>
      <c r="Q98" s="0" t="str">
        <f aca="false">IF($I98="","",$I98+IF($J98="",0,$J98))</f>
        <v/>
      </c>
      <c r="R98" s="0" t="str">
        <f aca="false">IF($K98="","",$K98+IF($L98="",0,$L98))</f>
        <v/>
      </c>
      <c r="S98" s="4" t="n">
        <f aca="false">IF($V98=1,0,IF($R98&lt;&gt;"",1,IF($N98="",0,$N98)))</f>
        <v>0</v>
      </c>
      <c r="T98" s="4" t="n">
        <f aca="false">IF(OR($B98="",$E98=0),0,MEDIAN(0,($M$5-$C98)/($E98/24),1))</f>
        <v>1</v>
      </c>
      <c r="U98" s="4" t="n">
        <f aca="false">($S98-$T98)*$E98</f>
        <v>-1</v>
      </c>
      <c r="V98" s="4" t="n">
        <f aca="false">IF(OR(AND($Q98&lt;&gt;"",$Q98&lt;$C$8),AND($Q98&lt;&gt;"",$R98&lt;&gt;"",$R98&lt;$Q98),AND($R98&lt;&gt;"",$Q98="")),1,0)</f>
        <v>0</v>
      </c>
      <c r="W98" s="98" t="n">
        <f aca="false">IF($B98="","",IF($S98=1,IF($R98&lt;&gt;"",$R98,$D98),IF($Q98&lt;&gt;"",MAX($M$5,$Q98)+$E98*(1-$S98)/24,MAX($M$5,$C98)+$E98/24)))</f>
        <v>46311.7916666667</v>
      </c>
      <c r="X98" s="4" t="n">
        <f aca="false">IF($B98="","",ROUND(($W98-$D98)*24,1))</f>
        <v>3</v>
      </c>
      <c r="Y98" s="4" t="n">
        <f aca="false">IF($B98="","",IF($Q98&lt;&gt;"",$X98,IF($X98&gt;0,MAX($X98,IF($Y97="",0,IF($Y97&gt;0,$Y97-MAX(0,($C98-$D97)*24),$Y97))),IF($Y97="",0,IF($Y97&gt;0,$Y97-MAX(0,($C98-$D97)*24),$Y97)))))</f>
        <v>18</v>
      </c>
      <c r="AB98" s="4" t="n">
        <f aca="false">IF(AND($B98&lt;&gt;"",$F98&gt;=12),1,0)</f>
        <v>0</v>
      </c>
    </row>
    <row r="99" customFormat="false" ht="19.5" hidden="false" customHeight="true" outlineLevel="0" collapsed="false">
      <c r="A99" s="85" t="n">
        <f aca="false">IF(OR($B99="",13&gt;$O$10),"",13)</f>
        <v>13</v>
      </c>
      <c r="B99" s="86" t="s">
        <v>111</v>
      </c>
      <c r="C99" s="87" t="n">
        <f aca="true">IF(OR($B99="",13&gt;$O$10),"",IF($F99=0,$C$8,IF($G99="SS",OFFSET($C$86,$F99,0)+$H99/24,IF($G99="FF",OFFSET($D$86,$F99,0)+$H99/24-$E99/24,IF($G99="SF",OFFSET($C$86,$F99,0)+$H99/24-$E99/24,OFFSET($D$86,$F99,0)+$H99/24)))))</f>
        <v>46311.6666666667</v>
      </c>
      <c r="D99" s="87" t="n">
        <f aca="false">IF(OR($B99="",13&gt;$O$10),"",$C99+$E99/24)</f>
        <v>46311.7083333333</v>
      </c>
      <c r="E99" s="88" t="n">
        <v>1</v>
      </c>
      <c r="F99" s="89" t="n">
        <v>12</v>
      </c>
      <c r="G99" s="90" t="s">
        <v>49</v>
      </c>
      <c r="H99" s="91" t="n">
        <v>0</v>
      </c>
      <c r="I99" s="92"/>
      <c r="J99" s="93"/>
      <c r="K99" s="92"/>
      <c r="L99" s="93"/>
      <c r="M99" s="94" t="str">
        <f aca="false">IF(OR($Q99="",$R99="",$V99=1),"",($R99-$Q99)*24)</f>
        <v/>
      </c>
      <c r="N99" s="95"/>
      <c r="O99" s="96" t="str">
        <f aca="false">IF(OR($B99="",13&gt;$O$10),"",IF($AB99=1,"! CHECK LINK",IF($V99=1,"! CHECK DATES",IF($S99=1,IF($R99="","Completed",IF($R99&lt;$D99,"Completed - Ahead",IF($R99&lt;=$D99+1/1440,"Completed - On Time","Completed - Delayed"))),IF($Q99&lt;&gt;"",IF($Y99&lt;=0.1,"In Progress - On Track","In Progress - BEHIND"),IF($M$5&lt;$C99,"Not Started","NOT STARTED - LATE"))))))</f>
        <v>NOT STARTED - LATE</v>
      </c>
      <c r="P99" s="97"/>
      <c r="Q99" s="0" t="str">
        <f aca="false">IF($I99="","",$I99+IF($J99="",0,$J99))</f>
        <v/>
      </c>
      <c r="R99" s="0" t="str">
        <f aca="false">IF($K99="","",$K99+IF($L99="",0,$L99))</f>
        <v/>
      </c>
      <c r="S99" s="4" t="n">
        <f aca="false">IF($V99=1,0,IF($R99&lt;&gt;"",1,IF($N99="",0,$N99)))</f>
        <v>0</v>
      </c>
      <c r="T99" s="4" t="n">
        <f aca="false">IF(OR($B99="",$E99=0),0,MEDIAN(0,($M$5-$C99)/($E99/24),1))</f>
        <v>1</v>
      </c>
      <c r="U99" s="4" t="n">
        <f aca="false">($S99-$T99)*$E99</f>
        <v>-1</v>
      </c>
      <c r="V99" s="4" t="n">
        <f aca="false">IF(OR(AND($Q99&lt;&gt;"",$Q99&lt;$C$8),AND($Q99&lt;&gt;"",$R99&lt;&gt;"",$R99&lt;$Q99),AND($R99&lt;&gt;"",$Q99="")),1,0)</f>
        <v>0</v>
      </c>
      <c r="W99" s="98" t="n">
        <f aca="false">IF($B99="","",IF($S99=1,IF($R99&lt;&gt;"",$R99,$D99),IF($Q99&lt;&gt;"",MAX($M$5,$Q99)+$E99*(1-$S99)/24,MAX($M$5,$C99)+$E99/24)))</f>
        <v>46311.7916666667</v>
      </c>
      <c r="X99" s="4" t="n">
        <f aca="false">IF($B99="","",ROUND(($W99-$D99)*24,1))</f>
        <v>2</v>
      </c>
      <c r="Y99" s="4" t="n">
        <f aca="false">IF($B99="","",IF($Q99&lt;&gt;"",$X99,IF($X99&gt;0,MAX($X99,IF($Y98="",0,IF($Y98&gt;0,$Y98-MAX(0,($C99-$D98)*24),$Y98))),IF($Y98="",0,IF($Y98&gt;0,$Y98-MAX(0,($C99-$D98)*24),$Y98)))))</f>
        <v>18</v>
      </c>
      <c r="AB99" s="4" t="n">
        <f aca="false">IF(AND($B99&lt;&gt;"",$F99&gt;=13),1,0)</f>
        <v>0</v>
      </c>
    </row>
    <row r="100" customFormat="false" ht="19.5" hidden="false" customHeight="true" outlineLevel="0" collapsed="false">
      <c r="A100" s="85" t="n">
        <f aca="false">IF(OR($B100="",14&gt;$O$10),"",14)</f>
        <v>14</v>
      </c>
      <c r="B100" s="86" t="s">
        <v>112</v>
      </c>
      <c r="C100" s="87" t="n">
        <f aca="true">IF(OR($B100="",14&gt;$O$10),"",IF($F100=0,$C$8,IF($G100="SS",OFFSET($C$86,$F100,0)+$H100/24,IF($G100="FF",OFFSET($D$86,$F100,0)+$H100/24-$E100/24,IF($G100="SF",OFFSET($C$86,$F100,0)+$H100/24-$E100/24,OFFSET($D$86,$F100,0)+$H100/24)))))</f>
        <v>46311.7083333333</v>
      </c>
      <c r="D100" s="87" t="n">
        <f aca="false">IF(OR($B100="",14&gt;$O$10),"",$C100+$E100/24)</f>
        <v>46311.75</v>
      </c>
      <c r="E100" s="88" t="n">
        <v>1</v>
      </c>
      <c r="F100" s="89" t="n">
        <v>13</v>
      </c>
      <c r="G100" s="90" t="s">
        <v>49</v>
      </c>
      <c r="H100" s="91" t="n">
        <v>0</v>
      </c>
      <c r="I100" s="92"/>
      <c r="J100" s="93"/>
      <c r="K100" s="92"/>
      <c r="L100" s="93"/>
      <c r="M100" s="94" t="str">
        <f aca="false">IF(OR($Q100="",$R100="",$V100=1),"",($R100-$Q100)*24)</f>
        <v/>
      </c>
      <c r="N100" s="95"/>
      <c r="O100" s="96" t="str">
        <f aca="false">IF(OR($B100="",14&gt;$O$10),"",IF($AB100=1,"! CHECK LINK",IF($V100=1,"! CHECK DATES",IF($S100=1,IF($R100="","Completed",IF($R100&lt;$D100,"Completed - Ahead",IF($R100&lt;=$D100+1/1440,"Completed - On Time","Completed - Delayed"))),IF($Q100&lt;&gt;"",IF($Y100&lt;=0.1,"In Progress - On Track","In Progress - BEHIND"),IF($M$5&lt;$C100,"Not Started","NOT STARTED - LATE"))))))</f>
        <v>NOT STARTED - LATE</v>
      </c>
      <c r="P100" s="97"/>
      <c r="Q100" s="0" t="str">
        <f aca="false">IF($I100="","",$I100+IF($J100="",0,$J100))</f>
        <v/>
      </c>
      <c r="R100" s="0" t="str">
        <f aca="false">IF($K100="","",$K100+IF($L100="",0,$L100))</f>
        <v/>
      </c>
      <c r="S100" s="4" t="n">
        <f aca="false">IF($V100=1,0,IF($R100&lt;&gt;"",1,IF($N100="",0,$N100)))</f>
        <v>0</v>
      </c>
      <c r="T100" s="4" t="n">
        <f aca="false">IF(OR($B100="",$E100=0),0,MEDIAN(0,($M$5-$C100)/($E100/24),1))</f>
        <v>1</v>
      </c>
      <c r="U100" s="4" t="n">
        <f aca="false">($S100-$T100)*$E100</f>
        <v>-1</v>
      </c>
      <c r="V100" s="4" t="n">
        <f aca="false">IF(OR(AND($Q100&lt;&gt;"",$Q100&lt;$C$8),AND($Q100&lt;&gt;"",$R100&lt;&gt;"",$R100&lt;$Q100),AND($R100&lt;&gt;"",$Q100="")),1,0)</f>
        <v>0</v>
      </c>
      <c r="W100" s="98" t="n">
        <f aca="false">IF($B100="","",IF($S100=1,IF($R100&lt;&gt;"",$R100,$D100),IF($Q100&lt;&gt;"",MAX($M$5,$Q100)+$E100*(1-$S100)/24,MAX($M$5,$C100)+$E100/24)))</f>
        <v>46311.7916666667</v>
      </c>
      <c r="X100" s="4" t="n">
        <f aca="false">IF($B100="","",ROUND(($W100-$D100)*24,1))</f>
        <v>1</v>
      </c>
      <c r="Y100" s="4" t="n">
        <f aca="false">IF($B100="","",IF($Q100&lt;&gt;"",$X100,IF($X100&gt;0,MAX($X100,IF($Y99="",0,IF($Y99&gt;0,$Y99-MAX(0,($C100-$D99)*24),$Y99))),IF($Y99="",0,IF($Y99&gt;0,$Y99-MAX(0,($C100-$D99)*24),$Y99)))))</f>
        <v>18</v>
      </c>
      <c r="AB100" s="4" t="n">
        <f aca="false">IF(AND($B100&lt;&gt;"",$F100&gt;=14),1,0)</f>
        <v>0</v>
      </c>
    </row>
    <row r="101" customFormat="false" ht="19.5" hidden="false" customHeight="true" outlineLevel="0" collapsed="false">
      <c r="A101" s="85" t="n">
        <f aca="false">IF(OR($B101="",15&gt;$O$10),"",15)</f>
        <v>15</v>
      </c>
      <c r="B101" s="86" t="s">
        <v>113</v>
      </c>
      <c r="C101" s="87" t="n">
        <f aca="true">IF(OR($B101="",15&gt;$O$10),"",IF($F101=0,$C$8,IF($G101="SS",OFFSET($C$86,$F101,0)+$H101/24,IF($G101="FF",OFFSET($D$86,$F101,0)+$H101/24-$E101/24,IF($G101="SF",OFFSET($C$86,$F101,0)+$H101/24-$E101/24,OFFSET($D$86,$F101,0)+$H101/24)))))</f>
        <v>46311.75</v>
      </c>
      <c r="D101" s="87" t="n">
        <f aca="false">IF(OR($B101="",15&gt;$O$10),"",$C101+$E101/24)</f>
        <v>46311.7916666667</v>
      </c>
      <c r="E101" s="88" t="n">
        <v>1</v>
      </c>
      <c r="F101" s="89" t="n">
        <v>14</v>
      </c>
      <c r="G101" s="90" t="s">
        <v>49</v>
      </c>
      <c r="H101" s="91" t="n">
        <v>0</v>
      </c>
      <c r="I101" s="92"/>
      <c r="J101" s="93"/>
      <c r="K101" s="92"/>
      <c r="L101" s="93"/>
      <c r="M101" s="94" t="str">
        <f aca="false">IF(OR($Q101="",$R101="",$V101=1),"",($R101-$Q101)*24)</f>
        <v/>
      </c>
      <c r="N101" s="95"/>
      <c r="O101" s="96" t="str">
        <f aca="false">IF(OR($B101="",15&gt;$O$10),"",IF($AB101=1,"! CHECK LINK",IF($V101=1,"! CHECK DATES",IF($S101=1,IF($R101="","Completed",IF($R101&lt;$D101,"Completed - Ahead",IF($R101&lt;=$D101+1/1440,"Completed - On Time","Completed - Delayed"))),IF($Q101&lt;&gt;"",IF($Y101&lt;=0.1,"In Progress - On Track","In Progress - BEHIND"),IF($M$5&lt;$C101,"Not Started","NOT STARTED - LATE"))))))</f>
        <v>NOT STARTED - LATE</v>
      </c>
      <c r="P101" s="97"/>
      <c r="Q101" s="0" t="str">
        <f aca="false">IF($I101="","",$I101+IF($J101="",0,$J101))</f>
        <v/>
      </c>
      <c r="R101" s="0" t="str">
        <f aca="false">IF($K101="","",$K101+IF($L101="",0,$L101))</f>
        <v/>
      </c>
      <c r="S101" s="4" t="n">
        <f aca="false">IF($V101=1,0,IF($R101&lt;&gt;"",1,IF($N101="",0,$N101)))</f>
        <v>0</v>
      </c>
      <c r="T101" s="4" t="n">
        <f aca="false">IF(OR($B101="",$E101=0),0,MEDIAN(0,($M$5-$C101)/($E101/24),1))</f>
        <v>0</v>
      </c>
      <c r="U101" s="4" t="n">
        <f aca="false">($S101-$T101)*$E101</f>
        <v>0</v>
      </c>
      <c r="V101" s="4" t="n">
        <f aca="false">IF(OR(AND($Q101&lt;&gt;"",$Q101&lt;$C$8),AND($Q101&lt;&gt;"",$R101&lt;&gt;"",$R101&lt;$Q101),AND($R101&lt;&gt;"",$Q101="")),1,0)</f>
        <v>0</v>
      </c>
      <c r="W101" s="98" t="n">
        <f aca="false">IF($B101="","",IF($S101=1,IF($R101&lt;&gt;"",$R101,$D101),IF($Q101&lt;&gt;"",MAX($M$5,$Q101)+$E101*(1-$S101)/24,MAX($M$5,$C101)+$E101/24)))</f>
        <v>46311.7916666667</v>
      </c>
      <c r="X101" s="4" t="n">
        <f aca="false">IF($B101="","",ROUND(($W101-$D101)*24,1))</f>
        <v>0</v>
      </c>
      <c r="Y101" s="4" t="n">
        <f aca="false">IF($B101="","",IF($Q101&lt;&gt;"",$X101,IF($X101&gt;0,MAX($X101,IF($Y100="",0,IF($Y100&gt;0,$Y100-MAX(0,($C101-$D100)*24),$Y100))),IF($Y100="",0,IF($Y100&gt;0,$Y100-MAX(0,($C101-$D100)*24),$Y100)))))</f>
        <v>18</v>
      </c>
      <c r="AB101" s="4" t="n">
        <f aca="false">IF(AND($B101&lt;&gt;"",$F101&gt;=15),1,0)</f>
        <v>0</v>
      </c>
    </row>
    <row r="102" customFormat="false" ht="19.5" hidden="false" customHeight="true" outlineLevel="0" collapsed="false">
      <c r="A102" s="85" t="n">
        <f aca="false">IF(OR($B102="",16&gt;$O$10),"",16)</f>
        <v>16</v>
      </c>
      <c r="B102" s="86" t="s">
        <v>114</v>
      </c>
      <c r="C102" s="87" t="n">
        <f aca="true">IF(OR($B102="",16&gt;$O$10),"",IF($F102=0,$C$8,IF($G102="SS",OFFSET($C$86,$F102,0)+$H102/24,IF($G102="FF",OFFSET($D$86,$F102,0)+$H102/24-$E102/24,IF($G102="SF",OFFSET($C$86,$F102,0)+$H102/24-$E102/24,OFFSET($D$86,$F102,0)+$H102/24)))))</f>
        <v>46311.7916666667</v>
      </c>
      <c r="D102" s="87" t="n">
        <f aca="false">IF(OR($B102="",16&gt;$O$10),"",$C102+$E102/24)</f>
        <v>46311.8333333333</v>
      </c>
      <c r="E102" s="88" t="n">
        <v>1</v>
      </c>
      <c r="F102" s="89" t="n">
        <v>15</v>
      </c>
      <c r="G102" s="90" t="s">
        <v>49</v>
      </c>
      <c r="H102" s="91" t="n">
        <v>0</v>
      </c>
      <c r="I102" s="92"/>
      <c r="J102" s="93"/>
      <c r="K102" s="92"/>
      <c r="L102" s="93"/>
      <c r="M102" s="94" t="str">
        <f aca="false">IF(OR($Q102="",$R102="",$V102=1),"",($R102-$Q102)*24)</f>
        <v/>
      </c>
      <c r="N102" s="95"/>
      <c r="O102" s="96" t="str">
        <f aca="false">IF(OR($B102="",16&gt;$O$10),"",IF($AB102=1,"! CHECK LINK",IF($V102=1,"! CHECK DATES",IF($S102=1,IF($R102="","Completed",IF($R102&lt;$D102,"Completed - Ahead",IF($R102&lt;=$D102+1/1440,"Completed - On Time","Completed - Delayed"))),IF($Q102&lt;&gt;"",IF($Y102&lt;=0.1,"In Progress - On Track","In Progress - BEHIND"),IF($M$5&lt;$C102,"Not Started","NOT STARTED - LATE"))))))</f>
        <v>Not Started</v>
      </c>
      <c r="P102" s="97"/>
      <c r="Q102" s="0" t="str">
        <f aca="false">IF($I102="","",$I102+IF($J102="",0,$J102))</f>
        <v/>
      </c>
      <c r="R102" s="0" t="str">
        <f aca="false">IF($K102="","",$K102+IF($L102="",0,$L102))</f>
        <v/>
      </c>
      <c r="S102" s="4" t="n">
        <f aca="false">IF($V102=1,0,IF($R102&lt;&gt;"",1,IF($N102="",0,$N102)))</f>
        <v>0</v>
      </c>
      <c r="T102" s="4" t="n">
        <f aca="false">IF(OR($B102="",$E102=0),0,MEDIAN(0,($M$5-$C102)/($E102/24),1))</f>
        <v>0</v>
      </c>
      <c r="U102" s="4" t="n">
        <f aca="false">($S102-$T102)*$E102</f>
        <v>0</v>
      </c>
      <c r="V102" s="4" t="n">
        <f aca="false">IF(OR(AND($Q102&lt;&gt;"",$Q102&lt;$C$8),AND($Q102&lt;&gt;"",$R102&lt;&gt;"",$R102&lt;$Q102),AND($R102&lt;&gt;"",$Q102="")),1,0)</f>
        <v>0</v>
      </c>
      <c r="W102" s="98" t="n">
        <f aca="false">IF($B102="","",IF($S102=1,IF($R102&lt;&gt;"",$R102,$D102),IF($Q102&lt;&gt;"",MAX($M$5,$Q102)+$E102*(1-$S102)/24,MAX($M$5,$C102)+$E102/24)))</f>
        <v>46311.8333333333</v>
      </c>
      <c r="X102" s="4" t="n">
        <f aca="false">IF($B102="","",ROUND(($W102-$D102)*24,1))</f>
        <v>0</v>
      </c>
      <c r="Y102" s="4" t="n">
        <f aca="false">IF($B102="","",IF($Q102&lt;&gt;"",$X102,IF($X102&gt;0,MAX($X102,IF($Y101="",0,IF($Y101&gt;0,$Y101-MAX(0,($C102-$D101)*24),$Y101))),IF($Y101="",0,IF($Y101&gt;0,$Y101-MAX(0,($C102-$D101)*24),$Y101)))))</f>
        <v>18</v>
      </c>
      <c r="AB102" s="4" t="n">
        <f aca="false">IF(AND($B102&lt;&gt;"",$F102&gt;=16),1,0)</f>
        <v>0</v>
      </c>
    </row>
    <row r="103" customFormat="false" ht="19.5" hidden="false" customHeight="true" outlineLevel="0" collapsed="false">
      <c r="A103" s="85" t="n">
        <f aca="false">IF(OR($B103="",17&gt;$O$10),"",17)</f>
        <v>17</v>
      </c>
      <c r="B103" s="86" t="s">
        <v>115</v>
      </c>
      <c r="C103" s="87" t="n">
        <f aca="true">IF(OR($B103="",17&gt;$O$10),"",IF($F103=0,$C$8,IF($G103="SS",OFFSET($C$86,$F103,0)+$H103/24,IF($G103="FF",OFFSET($D$86,$F103,0)+$H103/24-$E103/24,IF($G103="SF",OFFSET($C$86,$F103,0)+$H103/24-$E103/24,OFFSET($D$86,$F103,0)+$H103/24)))))</f>
        <v>46311.8333333333</v>
      </c>
      <c r="D103" s="87" t="n">
        <f aca="false">IF(OR($B103="",17&gt;$O$10),"",$C103+$E103/24)</f>
        <v>46311.875</v>
      </c>
      <c r="E103" s="88" t="n">
        <v>1</v>
      </c>
      <c r="F103" s="89" t="n">
        <v>16</v>
      </c>
      <c r="G103" s="90" t="s">
        <v>49</v>
      </c>
      <c r="H103" s="91" t="n">
        <v>0</v>
      </c>
      <c r="I103" s="92"/>
      <c r="J103" s="93"/>
      <c r="K103" s="92"/>
      <c r="L103" s="93"/>
      <c r="M103" s="94" t="str">
        <f aca="false">IF(OR($Q103="",$R103="",$V103=1),"",($R103-$Q103)*24)</f>
        <v/>
      </c>
      <c r="N103" s="95"/>
      <c r="O103" s="96" t="str">
        <f aca="false">IF(OR($B103="",17&gt;$O$10),"",IF($AB103=1,"! CHECK LINK",IF($V103=1,"! CHECK DATES",IF($S103=1,IF($R103="","Completed",IF($R103&lt;$D103,"Completed - Ahead",IF($R103&lt;=$D103+1/1440,"Completed - On Time","Completed - Delayed"))),IF($Q103&lt;&gt;"",IF($Y103&lt;=0.1,"In Progress - On Track","In Progress - BEHIND"),IF($M$5&lt;$C103,"Not Started","NOT STARTED - LATE"))))))</f>
        <v>Not Started</v>
      </c>
      <c r="P103" s="97"/>
      <c r="Q103" s="0" t="str">
        <f aca="false">IF($I103="","",$I103+IF($J103="",0,$J103))</f>
        <v/>
      </c>
      <c r="R103" s="0" t="str">
        <f aca="false">IF($K103="","",$K103+IF($L103="",0,$L103))</f>
        <v/>
      </c>
      <c r="S103" s="4" t="n">
        <f aca="false">IF($V103=1,0,IF($R103&lt;&gt;"",1,IF($N103="",0,$N103)))</f>
        <v>0</v>
      </c>
      <c r="T103" s="4" t="n">
        <f aca="false">IF(OR($B103="",$E103=0),0,MEDIAN(0,($M$5-$C103)/($E103/24),1))</f>
        <v>0</v>
      </c>
      <c r="U103" s="4" t="n">
        <f aca="false">($S103-$T103)*$E103</f>
        <v>0</v>
      </c>
      <c r="V103" s="4" t="n">
        <f aca="false">IF(OR(AND($Q103&lt;&gt;"",$Q103&lt;$C$8),AND($Q103&lt;&gt;"",$R103&lt;&gt;"",$R103&lt;$Q103),AND($R103&lt;&gt;"",$Q103="")),1,0)</f>
        <v>0</v>
      </c>
      <c r="W103" s="98" t="n">
        <f aca="false">IF($B103="","",IF($S103=1,IF($R103&lt;&gt;"",$R103,$D103),IF($Q103&lt;&gt;"",MAX($M$5,$Q103)+$E103*(1-$S103)/24,MAX($M$5,$C103)+$E103/24)))</f>
        <v>46311.875</v>
      </c>
      <c r="X103" s="4" t="n">
        <f aca="false">IF($B103="","",ROUND(($W103-$D103)*24,1))</f>
        <v>0</v>
      </c>
      <c r="Y103" s="4" t="n">
        <f aca="false">IF($B103="","",IF($Q103&lt;&gt;"",$X103,IF($X103&gt;0,MAX($X103,IF($Y102="",0,IF($Y102&gt;0,$Y102-MAX(0,($C103-$D102)*24),$Y102))),IF($Y102="",0,IF($Y102&gt;0,$Y102-MAX(0,($C103-$D102)*24),$Y102)))))</f>
        <v>18</v>
      </c>
      <c r="AB103" s="4" t="n">
        <f aca="false">IF(AND($B103&lt;&gt;"",$F103&gt;=17),1,0)</f>
        <v>0</v>
      </c>
    </row>
    <row r="104" customFormat="false" ht="19.5" hidden="false" customHeight="true" outlineLevel="0" collapsed="false">
      <c r="A104" s="85" t="n">
        <f aca="false">IF(OR($B104="",18&gt;$O$10),"",18)</f>
        <v>18</v>
      </c>
      <c r="B104" s="86" t="s">
        <v>127</v>
      </c>
      <c r="C104" s="87" t="n">
        <f aca="true">IF(OR($B104="",18&gt;$O$10),"",IF($F104=0,$C$8,IF($G104="SS",OFFSET($C$86,$F104,0)+$H104/24,IF($G104="FF",OFFSET($D$86,$F104,0)+$H104/24-$E104/24,IF($G104="SF",OFFSET($C$86,$F104,0)+$H104/24-$E104/24,OFFSET($D$86,$F104,0)+$H104/24)))))</f>
        <v>46311.875</v>
      </c>
      <c r="D104" s="87" t="n">
        <f aca="false">IF(OR($B104="",18&gt;$O$10),"",$C104+$E104/24)</f>
        <v>46311.9166666667</v>
      </c>
      <c r="E104" s="88" t="n">
        <v>1</v>
      </c>
      <c r="F104" s="89" t="n">
        <v>17</v>
      </c>
      <c r="G104" s="90" t="s">
        <v>49</v>
      </c>
      <c r="H104" s="91" t="n">
        <v>0</v>
      </c>
      <c r="I104" s="92"/>
      <c r="J104" s="93"/>
      <c r="K104" s="92"/>
      <c r="L104" s="93"/>
      <c r="M104" s="94" t="str">
        <f aca="false">IF(OR($Q104="",$R104="",$V104=1),"",($R104-$Q104)*24)</f>
        <v/>
      </c>
      <c r="N104" s="95"/>
      <c r="O104" s="96" t="str">
        <f aca="false">IF(OR($B104="",18&gt;$O$10),"",IF($AB104=1,"! CHECK LINK",IF($V104=1,"! CHECK DATES",IF($S104=1,IF($R104="","Completed",IF($R104&lt;$D104,"Completed - Ahead",IF($R104&lt;=$D104+1/1440,"Completed - On Time","Completed - Delayed"))),IF($Q104&lt;&gt;"",IF($Y104&lt;=0.1,"In Progress - On Track","In Progress - BEHIND"),IF($M$5&lt;$C104,"Not Started","NOT STARTED - LATE"))))))</f>
        <v>Not Started</v>
      </c>
      <c r="P104" s="97"/>
      <c r="Q104" s="0" t="str">
        <f aca="false">IF($I104="","",$I104+IF($J104="",0,$J104))</f>
        <v/>
      </c>
      <c r="R104" s="0" t="str">
        <f aca="false">IF($K104="","",$K104+IF($L104="",0,$L104))</f>
        <v/>
      </c>
      <c r="S104" s="4" t="n">
        <f aca="false">IF($V104=1,0,IF($R104&lt;&gt;"",1,IF($N104="",0,$N104)))</f>
        <v>0</v>
      </c>
      <c r="T104" s="4" t="n">
        <f aca="false">IF(OR($B104="",$E104=0),0,MEDIAN(0,($M$5-$C104)/($E104/24),1))</f>
        <v>0</v>
      </c>
      <c r="U104" s="4" t="n">
        <f aca="false">($S104-$T104)*$E104</f>
        <v>0</v>
      </c>
      <c r="V104" s="4" t="n">
        <f aca="false">IF(OR(AND($Q104&lt;&gt;"",$Q104&lt;$C$8),AND($Q104&lt;&gt;"",$R104&lt;&gt;"",$R104&lt;$Q104),AND($R104&lt;&gt;"",$Q104="")),1,0)</f>
        <v>0</v>
      </c>
      <c r="W104" s="98" t="n">
        <f aca="false">IF($B104="","",IF($S104=1,IF($R104&lt;&gt;"",$R104,$D104),IF($Q104&lt;&gt;"",MAX($M$5,$Q104)+$E104*(1-$S104)/24,MAX($M$5,$C104)+$E104/24)))</f>
        <v>46311.9166666667</v>
      </c>
      <c r="X104" s="4" t="n">
        <f aca="false">IF($B104="","",ROUND(($W104-$D104)*24,1))</f>
        <v>0</v>
      </c>
      <c r="Y104" s="4" t="n">
        <f aca="false">IF($B104="","",IF($Q104&lt;&gt;"",$X104,IF($X104&gt;0,MAX($X104,IF($Y103="",0,IF($Y103&gt;0,$Y103-MAX(0,($C104-$D103)*24),$Y103))),IF($Y103="",0,IF($Y103&gt;0,$Y103-MAX(0,($C104-$D103)*24),$Y103)))))</f>
        <v>18</v>
      </c>
      <c r="AB104" s="4" t="n">
        <f aca="false">IF(AND($B104&lt;&gt;"",$F104&gt;=18),1,0)</f>
        <v>0</v>
      </c>
    </row>
    <row r="105" customFormat="false" ht="19.5" hidden="false" customHeight="true" outlineLevel="0" collapsed="false">
      <c r="A105" s="85" t="n">
        <f aca="false">IF(OR($B105="",19&gt;$O$10),"",19)</f>
        <v>19</v>
      </c>
      <c r="B105" s="86" t="s">
        <v>128</v>
      </c>
      <c r="C105" s="87" t="n">
        <f aca="true">IF(OR($B105="",19&gt;$O$10),"",IF($F105=0,$C$8,IF($G105="SS",OFFSET($C$86,$F105,0)+$H105/24,IF($G105="FF",OFFSET($D$86,$F105,0)+$H105/24-$E105/24,IF($G105="SF",OFFSET($C$86,$F105,0)+$H105/24-$E105/24,OFFSET($D$86,$F105,0)+$H105/24)))))</f>
        <v>46311.9166666667</v>
      </c>
      <c r="D105" s="87" t="n">
        <f aca="false">IF(OR($B105="",19&gt;$O$10),"",$C105+$E105/24)</f>
        <v>46312</v>
      </c>
      <c r="E105" s="88" t="n">
        <v>2</v>
      </c>
      <c r="F105" s="89" t="n">
        <v>18</v>
      </c>
      <c r="G105" s="90" t="s">
        <v>49</v>
      </c>
      <c r="H105" s="91" t="n">
        <v>0</v>
      </c>
      <c r="I105" s="92"/>
      <c r="J105" s="93"/>
      <c r="K105" s="92"/>
      <c r="L105" s="93"/>
      <c r="M105" s="94" t="str">
        <f aca="false">IF(OR($Q105="",$R105="",$V105=1),"",($R105-$Q105)*24)</f>
        <v/>
      </c>
      <c r="N105" s="95"/>
      <c r="O105" s="96" t="str">
        <f aca="false">IF(OR($B105="",19&gt;$O$10),"",IF($AB105=1,"! CHECK LINK",IF($V105=1,"! CHECK DATES",IF($S105=1,IF($R105="","Completed",IF($R105&lt;$D105,"Completed - Ahead",IF($R105&lt;=$D105+1/1440,"Completed - On Time","Completed - Delayed"))),IF($Q105&lt;&gt;"",IF($Y105&lt;=0.1,"In Progress - On Track","In Progress - BEHIND"),IF($M$5&lt;$C105,"Not Started","NOT STARTED - LATE"))))))</f>
        <v>Not Started</v>
      </c>
      <c r="P105" s="97"/>
      <c r="Q105" s="0" t="str">
        <f aca="false">IF($I105="","",$I105+IF($J105="",0,$J105))</f>
        <v/>
      </c>
      <c r="R105" s="0" t="str">
        <f aca="false">IF($K105="","",$K105+IF($L105="",0,$L105))</f>
        <v/>
      </c>
      <c r="S105" s="4" t="n">
        <f aca="false">IF($V105=1,0,IF($R105&lt;&gt;"",1,IF($N105="",0,$N105)))</f>
        <v>0</v>
      </c>
      <c r="T105" s="4" t="n">
        <f aca="false">IF(OR($B105="",$E105=0),0,MEDIAN(0,($M$5-$C105)/($E105/24),1))</f>
        <v>0</v>
      </c>
      <c r="U105" s="4" t="n">
        <f aca="false">($S105-$T105)*$E105</f>
        <v>0</v>
      </c>
      <c r="V105" s="4" t="n">
        <f aca="false">IF(OR(AND($Q105&lt;&gt;"",$Q105&lt;$C$8),AND($Q105&lt;&gt;"",$R105&lt;&gt;"",$R105&lt;$Q105),AND($R105&lt;&gt;"",$Q105="")),1,0)</f>
        <v>0</v>
      </c>
      <c r="W105" s="98" t="n">
        <f aca="false">IF($B105="","",IF($S105=1,IF($R105&lt;&gt;"",$R105,$D105),IF($Q105&lt;&gt;"",MAX($M$5,$Q105)+$E105*(1-$S105)/24,MAX($M$5,$C105)+$E105/24)))</f>
        <v>46312</v>
      </c>
      <c r="X105" s="4" t="n">
        <f aca="false">IF($B105="","",ROUND(($W105-$D105)*24,1))</f>
        <v>0</v>
      </c>
      <c r="Y105" s="4" t="n">
        <f aca="false">IF($B105="","",IF($Q105&lt;&gt;"",$X105,IF($X105&gt;0,MAX($X105,IF($Y104="",0,IF($Y104&gt;0,$Y104-MAX(0,($C105-$D104)*24),$Y104))),IF($Y104="",0,IF($Y104&gt;0,$Y104-MAX(0,($C105-$D104)*24),$Y104)))))</f>
        <v>18</v>
      </c>
      <c r="AB105" s="4" t="n">
        <f aca="false">IF(AND($B105&lt;&gt;"",$F105&gt;=19),1,0)</f>
        <v>0</v>
      </c>
    </row>
    <row r="106" customFormat="false" ht="19.5" hidden="false" customHeight="true" outlineLevel="0" collapsed="false">
      <c r="A106" s="85" t="n">
        <f aca="false">IF(OR($B106="",20&gt;$O$10),"",20)</f>
        <v>20</v>
      </c>
      <c r="B106" s="86" t="s">
        <v>129</v>
      </c>
      <c r="C106" s="87" t="n">
        <f aca="true">IF(OR($B106="",20&gt;$O$10),"",IF($F106=0,$C$8,IF($G106="SS",OFFSET($C$86,$F106,0)+$H106/24,IF($G106="FF",OFFSET($D$86,$F106,0)+$H106/24-$E106/24,IF($G106="SF",OFFSET($C$86,$F106,0)+$H106/24-$E106/24,OFFSET($D$86,$F106,0)+$H106/24)))))</f>
        <v>46312</v>
      </c>
      <c r="D106" s="87" t="n">
        <f aca="false">IF(OR($B106="",20&gt;$O$10),"",$C106+$E106/24)</f>
        <v>46312.0833333333</v>
      </c>
      <c r="E106" s="88" t="n">
        <v>2</v>
      </c>
      <c r="F106" s="89" t="n">
        <v>19</v>
      </c>
      <c r="G106" s="90" t="s">
        <v>49</v>
      </c>
      <c r="H106" s="91" t="n">
        <v>0</v>
      </c>
      <c r="I106" s="92"/>
      <c r="J106" s="93"/>
      <c r="K106" s="92"/>
      <c r="L106" s="93"/>
      <c r="M106" s="94" t="str">
        <f aca="false">IF(OR($Q106="",$R106="",$V106=1),"",($R106-$Q106)*24)</f>
        <v/>
      </c>
      <c r="N106" s="95"/>
      <c r="O106" s="96" t="str">
        <f aca="false">IF(OR($B106="",20&gt;$O$10),"",IF($AB106=1,"! CHECK LINK",IF($V106=1,"! CHECK DATES",IF($S106=1,IF($R106="","Completed",IF($R106&lt;$D106,"Completed - Ahead",IF($R106&lt;=$D106+1/1440,"Completed - On Time","Completed - Delayed"))),IF($Q106&lt;&gt;"",IF($Y106&lt;=0.1,"In Progress - On Track","In Progress - BEHIND"),IF($M$5&lt;$C106,"Not Started","NOT STARTED - LATE"))))))</f>
        <v>Not Started</v>
      </c>
      <c r="P106" s="97"/>
      <c r="Q106" s="0" t="str">
        <f aca="false">IF($I106="","",$I106+IF($J106="",0,$J106))</f>
        <v/>
      </c>
      <c r="R106" s="0" t="str">
        <f aca="false">IF($K106="","",$K106+IF($L106="",0,$L106))</f>
        <v/>
      </c>
      <c r="S106" s="4" t="n">
        <f aca="false">IF($V106=1,0,IF($R106&lt;&gt;"",1,IF($N106="",0,$N106)))</f>
        <v>0</v>
      </c>
      <c r="T106" s="4" t="n">
        <f aca="false">IF(OR($B106="",$E106=0),0,MEDIAN(0,($M$5-$C106)/($E106/24),1))</f>
        <v>0</v>
      </c>
      <c r="U106" s="4" t="n">
        <f aca="false">($S106-$T106)*$E106</f>
        <v>0</v>
      </c>
      <c r="V106" s="4" t="n">
        <f aca="false">IF(OR(AND($Q106&lt;&gt;"",$Q106&lt;$C$8),AND($Q106&lt;&gt;"",$R106&lt;&gt;"",$R106&lt;$Q106),AND($R106&lt;&gt;"",$Q106="")),1,0)</f>
        <v>0</v>
      </c>
      <c r="W106" s="98" t="n">
        <f aca="false">IF($B106="","",IF($S106=1,IF($R106&lt;&gt;"",$R106,$D106),IF($Q106&lt;&gt;"",MAX($M$5,$Q106)+$E106*(1-$S106)/24,MAX($M$5,$C106)+$E106/24)))</f>
        <v>46312.0833333333</v>
      </c>
      <c r="X106" s="4" t="n">
        <f aca="false">IF($B106="","",ROUND(($W106-$D106)*24,1))</f>
        <v>0</v>
      </c>
      <c r="Y106" s="4" t="n">
        <f aca="false">IF($B106="","",IF($Q106&lt;&gt;"",$X106,IF($X106&gt;0,MAX($X106,IF($Y105="",0,IF($Y105&gt;0,$Y105-MAX(0,($C106-$D105)*24),$Y105))),IF($Y105="",0,IF($Y105&gt;0,$Y105-MAX(0,($C106-$D105)*24),$Y105)))))</f>
        <v>18</v>
      </c>
      <c r="AB106" s="4" t="n">
        <f aca="false">IF(AND($B106&lt;&gt;"",$F106&gt;=20),1,0)</f>
        <v>0</v>
      </c>
    </row>
    <row r="107" customFormat="false" ht="19.5" hidden="false" customHeight="true" outlineLevel="0" collapsed="false">
      <c r="A107" s="85" t="n">
        <f aca="false">IF(OR($B107="",21&gt;$O$10),"",21)</f>
        <v>21</v>
      </c>
      <c r="B107" s="86" t="s">
        <v>119</v>
      </c>
      <c r="C107" s="87" t="n">
        <f aca="true">IF(OR($B107="",21&gt;$O$10),"",IF($F107=0,$C$8,IF($G107="SS",OFFSET($C$86,$F107,0)+$H107/24,IF($G107="FF",OFFSET($D$86,$F107,0)+$H107/24-$E107/24,IF($G107="SF",OFFSET($C$86,$F107,0)+$H107/24-$E107/24,OFFSET($D$86,$F107,0)+$H107/24)))))</f>
        <v>46312.0833333333</v>
      </c>
      <c r="D107" s="87" t="n">
        <f aca="false">IF(OR($B107="",21&gt;$O$10),"",$C107+$E107/24)</f>
        <v>46312.125</v>
      </c>
      <c r="E107" s="88" t="n">
        <v>1</v>
      </c>
      <c r="F107" s="89" t="n">
        <v>20</v>
      </c>
      <c r="G107" s="90" t="s">
        <v>49</v>
      </c>
      <c r="H107" s="91" t="n">
        <v>0</v>
      </c>
      <c r="I107" s="92"/>
      <c r="J107" s="93"/>
      <c r="K107" s="92"/>
      <c r="L107" s="93"/>
      <c r="M107" s="94" t="str">
        <f aca="false">IF(OR($Q107="",$R107="",$V107=1),"",($R107-$Q107)*24)</f>
        <v/>
      </c>
      <c r="N107" s="95"/>
      <c r="O107" s="96" t="str">
        <f aca="false">IF(OR($B107="",21&gt;$O$10),"",IF($AB107=1,"! CHECK LINK",IF($V107=1,"! CHECK DATES",IF($S107=1,IF($R107="","Completed",IF($R107&lt;$D107,"Completed - Ahead",IF($R107&lt;=$D107+1/1440,"Completed - On Time","Completed - Delayed"))),IF($Q107&lt;&gt;"",IF($Y107&lt;=0.1,"In Progress - On Track","In Progress - BEHIND"),IF($M$5&lt;$C107,"Not Started","NOT STARTED - LATE"))))))</f>
        <v>Not Started</v>
      </c>
      <c r="P107" s="97"/>
      <c r="Q107" s="0" t="str">
        <f aca="false">IF($I107="","",$I107+IF($J107="",0,$J107))</f>
        <v/>
      </c>
      <c r="R107" s="0" t="str">
        <f aca="false">IF($K107="","",$K107+IF($L107="",0,$L107))</f>
        <v/>
      </c>
      <c r="S107" s="4" t="n">
        <f aca="false">IF($V107=1,0,IF($R107&lt;&gt;"",1,IF($N107="",0,$N107)))</f>
        <v>0</v>
      </c>
      <c r="T107" s="4" t="n">
        <f aca="false">IF(OR($B107="",$E107=0),0,MEDIAN(0,($M$5-$C107)/($E107/24),1))</f>
        <v>0</v>
      </c>
      <c r="U107" s="4" t="n">
        <f aca="false">($S107-$T107)*$E107</f>
        <v>0</v>
      </c>
      <c r="V107" s="4" t="n">
        <f aca="false">IF(OR(AND($Q107&lt;&gt;"",$Q107&lt;$C$8),AND($Q107&lt;&gt;"",$R107&lt;&gt;"",$R107&lt;$Q107),AND($R107&lt;&gt;"",$Q107="")),1,0)</f>
        <v>0</v>
      </c>
      <c r="W107" s="98" t="n">
        <f aca="false">IF($B107="","",IF($S107=1,IF($R107&lt;&gt;"",$R107,$D107),IF($Q107&lt;&gt;"",MAX($M$5,$Q107)+$E107*(1-$S107)/24,MAX($M$5,$C107)+$E107/24)))</f>
        <v>46312.125</v>
      </c>
      <c r="X107" s="4" t="n">
        <f aca="false">IF($B107="","",ROUND(($W107-$D107)*24,1))</f>
        <v>0</v>
      </c>
      <c r="Y107" s="4" t="n">
        <f aca="false">IF($B107="","",IF($Q107&lt;&gt;"",$X107,IF($X107&gt;0,MAX($X107,IF($Y106="",0,IF($Y106&gt;0,$Y106-MAX(0,($C107-$D106)*24),$Y106))),IF($Y106="",0,IF($Y106&gt;0,$Y106-MAX(0,($C107-$D106)*24),$Y106)))))</f>
        <v>18</v>
      </c>
      <c r="AB107" s="4" t="n">
        <f aca="false">IF(AND($B107&lt;&gt;"",$F107&gt;=21),1,0)</f>
        <v>0</v>
      </c>
    </row>
    <row r="108" customFormat="false" ht="19.5" hidden="false" customHeight="true" outlineLevel="0" collapsed="false">
      <c r="A108" s="85" t="n">
        <f aca="false">IF(OR($B108="",22&gt;$O$10),"",22)</f>
        <v>22</v>
      </c>
      <c r="B108" s="86" t="s">
        <v>120</v>
      </c>
      <c r="C108" s="87" t="n">
        <f aca="true">IF(OR($B108="",22&gt;$O$10),"",IF($F108=0,$C$8,IF($G108="SS",OFFSET($C$86,$F108,0)+$H108/24,IF($G108="FF",OFFSET($D$86,$F108,0)+$H108/24-$E108/24,IF($G108="SF",OFFSET($C$86,$F108,0)+$H108/24-$E108/24,OFFSET($D$86,$F108,0)+$H108/24)))))</f>
        <v>46312.125</v>
      </c>
      <c r="D108" s="87" t="n">
        <f aca="false">IF(OR($B108="",22&gt;$O$10),"",$C108+$E108/24)</f>
        <v>46312.1666666667</v>
      </c>
      <c r="E108" s="88" t="n">
        <v>1</v>
      </c>
      <c r="F108" s="89" t="n">
        <v>21</v>
      </c>
      <c r="G108" s="90" t="s">
        <v>49</v>
      </c>
      <c r="H108" s="91" t="n">
        <v>0</v>
      </c>
      <c r="I108" s="92"/>
      <c r="J108" s="93"/>
      <c r="K108" s="92"/>
      <c r="L108" s="93"/>
      <c r="M108" s="94" t="str">
        <f aca="false">IF(OR($Q108="",$R108="",$V108=1),"",($R108-$Q108)*24)</f>
        <v/>
      </c>
      <c r="N108" s="95"/>
      <c r="O108" s="96" t="str">
        <f aca="false">IF(OR($B108="",22&gt;$O$10),"",IF($AB108=1,"! CHECK LINK",IF($V108=1,"! CHECK DATES",IF($S108=1,IF($R108="","Completed",IF($R108&lt;$D108,"Completed - Ahead",IF($R108&lt;=$D108+1/1440,"Completed - On Time","Completed - Delayed"))),IF($Q108&lt;&gt;"",IF($Y108&lt;=0.1,"In Progress - On Track","In Progress - BEHIND"),IF($M$5&lt;$C108,"Not Started","NOT STARTED - LATE"))))))</f>
        <v>Not Started</v>
      </c>
      <c r="P108" s="97"/>
      <c r="Q108" s="0" t="str">
        <f aca="false">IF($I108="","",$I108+IF($J108="",0,$J108))</f>
        <v/>
      </c>
      <c r="R108" s="0" t="str">
        <f aca="false">IF($K108="","",$K108+IF($L108="",0,$L108))</f>
        <v/>
      </c>
      <c r="S108" s="4" t="n">
        <f aca="false">IF($V108=1,0,IF($R108&lt;&gt;"",1,IF($N108="",0,$N108)))</f>
        <v>0</v>
      </c>
      <c r="T108" s="4" t="n">
        <f aca="false">IF(OR($B108="",$E108=0),0,MEDIAN(0,($M$5-$C108)/($E108/24),1))</f>
        <v>0</v>
      </c>
      <c r="U108" s="4" t="n">
        <f aca="false">($S108-$T108)*$E108</f>
        <v>0</v>
      </c>
      <c r="V108" s="4" t="n">
        <f aca="false">IF(OR(AND($Q108&lt;&gt;"",$Q108&lt;$C$8),AND($Q108&lt;&gt;"",$R108&lt;&gt;"",$R108&lt;$Q108),AND($R108&lt;&gt;"",$Q108="")),1,0)</f>
        <v>0</v>
      </c>
      <c r="W108" s="98" t="n">
        <f aca="false">IF($B108="","",IF($S108=1,IF($R108&lt;&gt;"",$R108,$D108),IF($Q108&lt;&gt;"",MAX($M$5,$Q108)+$E108*(1-$S108)/24,MAX($M$5,$C108)+$E108/24)))</f>
        <v>46312.1666666667</v>
      </c>
      <c r="X108" s="4" t="n">
        <f aca="false">IF($B108="","",ROUND(($W108-$D108)*24,1))</f>
        <v>0</v>
      </c>
      <c r="Y108" s="4" t="n">
        <f aca="false">IF($B108="","",IF($Q108&lt;&gt;"",$X108,IF($X108&gt;0,MAX($X108,IF($Y107="",0,IF($Y107&gt;0,$Y107-MAX(0,($C108-$D107)*24),$Y107))),IF($Y107="",0,IF($Y107&gt;0,$Y107-MAX(0,($C108-$D107)*24),$Y107)))))</f>
        <v>18</v>
      </c>
      <c r="AB108" s="4" t="n">
        <f aca="false">IF(AND($B108&lt;&gt;"",$F108&gt;=22),1,0)</f>
        <v>0</v>
      </c>
    </row>
    <row r="109" customFormat="false" ht="19.5" hidden="false" customHeight="true" outlineLevel="0" collapsed="false">
      <c r="A109" s="85" t="n">
        <f aca="false">IF(OR($B109="",23&gt;$O$10),"",23)</f>
        <v>23</v>
      </c>
      <c r="B109" s="86" t="s">
        <v>121</v>
      </c>
      <c r="C109" s="87" t="n">
        <f aca="true">IF(OR($B109="",23&gt;$O$10),"",IF($F109=0,$C$8,IF($G109="SS",OFFSET($C$86,$F109,0)+$H109/24,IF($G109="FF",OFFSET($D$86,$F109,0)+$H109/24-$E109/24,IF($G109="SF",OFFSET($C$86,$F109,0)+$H109/24-$E109/24,OFFSET($D$86,$F109,0)+$H109/24)))))</f>
        <v>46312.1666666667</v>
      </c>
      <c r="D109" s="87" t="n">
        <f aca="false">IF(OR($B109="",23&gt;$O$10),"",$C109+$E109/24)</f>
        <v>46312.25</v>
      </c>
      <c r="E109" s="88" t="n">
        <v>2</v>
      </c>
      <c r="F109" s="89" t="n">
        <v>22</v>
      </c>
      <c r="G109" s="90" t="s">
        <v>49</v>
      </c>
      <c r="H109" s="91" t="n">
        <v>0</v>
      </c>
      <c r="I109" s="92"/>
      <c r="J109" s="93"/>
      <c r="K109" s="92"/>
      <c r="L109" s="93"/>
      <c r="M109" s="94" t="str">
        <f aca="false">IF(OR($Q109="",$R109="",$V109=1),"",($R109-$Q109)*24)</f>
        <v/>
      </c>
      <c r="N109" s="95"/>
      <c r="O109" s="96" t="str">
        <f aca="false">IF(OR($B109="",23&gt;$O$10),"",IF($AB109=1,"! CHECK LINK",IF($V109=1,"! CHECK DATES",IF($S109=1,IF($R109="","Completed",IF($R109&lt;$D109,"Completed - Ahead",IF($R109&lt;=$D109+1/1440,"Completed - On Time","Completed - Delayed"))),IF($Q109&lt;&gt;"",IF($Y109&lt;=0.1,"In Progress - On Track","In Progress - BEHIND"),IF($M$5&lt;$C109,"Not Started","NOT STARTED - LATE"))))))</f>
        <v>Not Started</v>
      </c>
      <c r="P109" s="97"/>
      <c r="Q109" s="0" t="str">
        <f aca="false">IF($I109="","",$I109+IF($J109="",0,$J109))</f>
        <v/>
      </c>
      <c r="R109" s="0" t="str">
        <f aca="false">IF($K109="","",$K109+IF($L109="",0,$L109))</f>
        <v/>
      </c>
      <c r="S109" s="4" t="n">
        <f aca="false">IF($V109=1,0,IF($R109&lt;&gt;"",1,IF($N109="",0,$N109)))</f>
        <v>0</v>
      </c>
      <c r="T109" s="4" t="n">
        <f aca="false">IF(OR($B109="",$E109=0),0,MEDIAN(0,($M$5-$C109)/($E109/24),1))</f>
        <v>0</v>
      </c>
      <c r="U109" s="4" t="n">
        <f aca="false">($S109-$T109)*$E109</f>
        <v>0</v>
      </c>
      <c r="V109" s="4" t="n">
        <f aca="false">IF(OR(AND($Q109&lt;&gt;"",$Q109&lt;$C$8),AND($Q109&lt;&gt;"",$R109&lt;&gt;"",$R109&lt;$Q109),AND($R109&lt;&gt;"",$Q109="")),1,0)</f>
        <v>0</v>
      </c>
      <c r="W109" s="98" t="n">
        <f aca="false">IF($B109="","",IF($S109=1,IF($R109&lt;&gt;"",$R109,$D109),IF($Q109&lt;&gt;"",MAX($M$5,$Q109)+$E109*(1-$S109)/24,MAX($M$5,$C109)+$E109/24)))</f>
        <v>46312.25</v>
      </c>
      <c r="X109" s="4" t="n">
        <f aca="false">IF($B109="","",ROUND(($W109-$D109)*24,1))</f>
        <v>0</v>
      </c>
      <c r="Y109" s="4" t="n">
        <f aca="false">IF($B109="","",IF($Q109&lt;&gt;"",$X109,IF($X109&gt;0,MAX($X109,IF($Y108="",0,IF($Y108&gt;0,$Y108-MAX(0,($C109-$D108)*24),$Y108))),IF($Y108="",0,IF($Y108&gt;0,$Y108-MAX(0,($C109-$D108)*24),$Y108)))))</f>
        <v>18</v>
      </c>
      <c r="AB109" s="4" t="n">
        <f aca="false">IF(AND($B109&lt;&gt;"",$F109&gt;=23),1,0)</f>
        <v>0</v>
      </c>
    </row>
    <row r="110" customFormat="false" ht="19.5" hidden="false" customHeight="true" outlineLevel="0" collapsed="false">
      <c r="A110" s="85" t="n">
        <f aca="false">IF(OR($B110="",24&gt;$O$10),"",24)</f>
        <v>24</v>
      </c>
      <c r="B110" s="86" t="s">
        <v>122</v>
      </c>
      <c r="C110" s="87" t="n">
        <f aca="true">IF(OR($B110="",24&gt;$O$10),"",IF($F110=0,$C$8,IF($G110="SS",OFFSET($C$86,$F110,0)+$H110/24,IF($G110="FF",OFFSET($D$86,$F110,0)+$H110/24-$E110/24,IF($G110="SF",OFFSET($C$86,$F110,0)+$H110/24-$E110/24,OFFSET($D$86,$F110,0)+$H110/24)))))</f>
        <v>46312.25</v>
      </c>
      <c r="D110" s="87" t="n">
        <f aca="false">IF(OR($B110="",24&gt;$O$10),"",$C110+$E110/24)</f>
        <v>46312.4166666667</v>
      </c>
      <c r="E110" s="88" t="n">
        <v>4</v>
      </c>
      <c r="F110" s="89" t="n">
        <v>23</v>
      </c>
      <c r="G110" s="90" t="s">
        <v>49</v>
      </c>
      <c r="H110" s="91" t="n">
        <v>0</v>
      </c>
      <c r="I110" s="92"/>
      <c r="J110" s="93"/>
      <c r="K110" s="92"/>
      <c r="L110" s="93"/>
      <c r="M110" s="94" t="str">
        <f aca="false">IF(OR($Q110="",$R110="",$V110=1),"",($R110-$Q110)*24)</f>
        <v/>
      </c>
      <c r="N110" s="95"/>
      <c r="O110" s="96" t="str">
        <f aca="false">IF(OR($B110="",24&gt;$O$10),"",IF($AB110=1,"! CHECK LINK",IF($V110=1,"! CHECK DATES",IF($S110=1,IF($R110="","Completed",IF($R110&lt;$D110,"Completed - Ahead",IF($R110&lt;=$D110+1/1440,"Completed - On Time","Completed - Delayed"))),IF($Q110&lt;&gt;"",IF($Y110&lt;=0.1,"In Progress - On Track","In Progress - BEHIND"),IF($M$5&lt;$C110,"Not Started","NOT STARTED - LATE"))))))</f>
        <v>Not Started</v>
      </c>
      <c r="P110" s="97"/>
      <c r="Q110" s="0" t="str">
        <f aca="false">IF($I110="","",$I110+IF($J110="",0,$J110))</f>
        <v/>
      </c>
      <c r="R110" s="0" t="str">
        <f aca="false">IF($K110="","",$K110+IF($L110="",0,$L110))</f>
        <v/>
      </c>
      <c r="S110" s="4" t="n">
        <f aca="false">IF($V110=1,0,IF($R110&lt;&gt;"",1,IF($N110="",0,$N110)))</f>
        <v>0</v>
      </c>
      <c r="T110" s="4" t="n">
        <f aca="false">IF(OR($B110="",$E110=0),0,MEDIAN(0,($M$5-$C110)/($E110/24),1))</f>
        <v>0</v>
      </c>
      <c r="U110" s="4" t="n">
        <f aca="false">($S110-$T110)*$E110</f>
        <v>0</v>
      </c>
      <c r="V110" s="4" t="n">
        <f aca="false">IF(OR(AND($Q110&lt;&gt;"",$Q110&lt;$C$8),AND($Q110&lt;&gt;"",$R110&lt;&gt;"",$R110&lt;$Q110),AND($R110&lt;&gt;"",$Q110="")),1,0)</f>
        <v>0</v>
      </c>
      <c r="W110" s="98" t="n">
        <f aca="false">IF($B110="","",IF($S110=1,IF($R110&lt;&gt;"",$R110,$D110),IF($Q110&lt;&gt;"",MAX($M$5,$Q110)+$E110*(1-$S110)/24,MAX($M$5,$C110)+$E110/24)))</f>
        <v>46312.4166666667</v>
      </c>
      <c r="X110" s="4" t="n">
        <f aca="false">IF($B110="","",ROUND(($W110-$D110)*24,1))</f>
        <v>0</v>
      </c>
      <c r="Y110" s="4" t="n">
        <f aca="false">IF($B110="","",IF($Q110&lt;&gt;"",$X110,IF($X110&gt;0,MAX($X110,IF($Y109="",0,IF($Y109&gt;0,$Y109-MAX(0,($C110-$D109)*24),$Y109))),IF($Y109="",0,IF($Y109&gt;0,$Y109-MAX(0,($C110-$D109)*24),$Y109)))))</f>
        <v>18</v>
      </c>
      <c r="AB110" s="4" t="n">
        <f aca="false">IF(AND($B110&lt;&gt;"",$F110&gt;=24),1,0)</f>
        <v>0</v>
      </c>
    </row>
    <row r="111" customFormat="false" ht="19.5" hidden="false" customHeight="true" outlineLevel="0" collapsed="false">
      <c r="A111" s="85" t="n">
        <f aca="false">IF(OR($B111="",25&gt;$O$10),"",25)</f>
        <v>25</v>
      </c>
      <c r="B111" s="86" t="s">
        <v>123</v>
      </c>
      <c r="C111" s="87" t="n">
        <f aca="true">IF(OR($B111="",25&gt;$O$10),"",IF($F111=0,$C$8,IF($G111="SS",OFFSET($C$86,$F111,0)+$H111/24,IF($G111="FF",OFFSET($D$86,$F111,0)+$H111/24-$E111/24,IF($G111="SF",OFFSET($C$86,$F111,0)+$H111/24-$E111/24,OFFSET($D$86,$F111,0)+$H111/24)))))</f>
        <v>46312.4166666667</v>
      </c>
      <c r="D111" s="87" t="n">
        <f aca="false">IF(OR($B111="",25&gt;$O$10),"",$C111+$E111/24)</f>
        <v>46312.5833333333</v>
      </c>
      <c r="E111" s="88" t="n">
        <v>4</v>
      </c>
      <c r="F111" s="89" t="n">
        <v>24</v>
      </c>
      <c r="G111" s="90" t="s">
        <v>49</v>
      </c>
      <c r="H111" s="91" t="n">
        <v>0</v>
      </c>
      <c r="I111" s="92"/>
      <c r="J111" s="93"/>
      <c r="K111" s="92"/>
      <c r="L111" s="93"/>
      <c r="M111" s="94" t="str">
        <f aca="false">IF(OR($Q111="",$R111="",$V111=1),"",($R111-$Q111)*24)</f>
        <v/>
      </c>
      <c r="N111" s="95"/>
      <c r="O111" s="96" t="str">
        <f aca="false">IF(OR($B111="",25&gt;$O$10),"",IF($AB111=1,"! CHECK LINK",IF($V111=1,"! CHECK DATES",IF($S111=1,IF($R111="","Completed",IF($R111&lt;$D111,"Completed - Ahead",IF($R111&lt;=$D111+1/1440,"Completed - On Time","Completed - Delayed"))),IF($Q111&lt;&gt;"",IF($Y111&lt;=0.1,"In Progress - On Track","In Progress - BEHIND"),IF($M$5&lt;$C111,"Not Started","NOT STARTED - LATE"))))))</f>
        <v>Not Started</v>
      </c>
      <c r="P111" s="97"/>
      <c r="Q111" s="0" t="str">
        <f aca="false">IF($I111="","",$I111+IF($J111="",0,$J111))</f>
        <v/>
      </c>
      <c r="R111" s="0" t="str">
        <f aca="false">IF($K111="","",$K111+IF($L111="",0,$L111))</f>
        <v/>
      </c>
      <c r="S111" s="4" t="n">
        <f aca="false">IF($V111=1,0,IF($R111&lt;&gt;"",1,IF($N111="",0,$N111)))</f>
        <v>0</v>
      </c>
      <c r="T111" s="4" t="n">
        <f aca="false">IF(OR($B111="",$E111=0),0,MEDIAN(0,($M$5-$C111)/($E111/24),1))</f>
        <v>0</v>
      </c>
      <c r="U111" s="4" t="n">
        <f aca="false">($S111-$T111)*$E111</f>
        <v>0</v>
      </c>
      <c r="V111" s="4" t="n">
        <f aca="false">IF(OR(AND($Q111&lt;&gt;"",$Q111&lt;$C$8),AND($Q111&lt;&gt;"",$R111&lt;&gt;"",$R111&lt;$Q111),AND($R111&lt;&gt;"",$Q111="")),1,0)</f>
        <v>0</v>
      </c>
      <c r="W111" s="98" t="n">
        <f aca="false">IF($B111="","",IF($S111=1,IF($R111&lt;&gt;"",$R111,$D111),IF($Q111&lt;&gt;"",MAX($M$5,$Q111)+$E111*(1-$S111)/24,MAX($M$5,$C111)+$E111/24)))</f>
        <v>46312.5833333333</v>
      </c>
      <c r="X111" s="4" t="n">
        <f aca="false">IF($B111="","",ROUND(($W111-$D111)*24,1))</f>
        <v>0</v>
      </c>
      <c r="Y111" s="4" t="n">
        <f aca="false">IF($B111="","",IF($Q111&lt;&gt;"",$X111,IF($X111&gt;0,MAX($X111,IF($Y110="",0,IF($Y110&gt;0,$Y110-MAX(0,($C111-$D110)*24),$Y110))),IF($Y110="",0,IF($Y110&gt;0,$Y110-MAX(0,($C111-$D110)*24),$Y110)))))</f>
        <v>18</v>
      </c>
      <c r="AB111" s="4" t="n">
        <f aca="false">IF(AND($B111&lt;&gt;"",$F111&gt;=25),1,0)</f>
        <v>0</v>
      </c>
    </row>
    <row r="112" customFormat="false" ht="19.5" hidden="false" customHeight="true" outlineLevel="0" collapsed="false">
      <c r="A112" s="85" t="n">
        <f aca="false">IF(OR($B112="",26&gt;$O$10),"",26)</f>
        <v>26</v>
      </c>
      <c r="B112" s="86" t="s">
        <v>124</v>
      </c>
      <c r="C112" s="87" t="n">
        <f aca="true">IF(OR($B112="",26&gt;$O$10),"",IF($F112=0,$C$8,IF($G112="SS",OFFSET($C$86,$F112,0)+$H112/24,IF($G112="FF",OFFSET($D$86,$F112,0)+$H112/24-$E112/24,IF($G112="SF",OFFSET($C$86,$F112,0)+$H112/24-$E112/24,OFFSET($D$86,$F112,0)+$H112/24)))))</f>
        <v>46312.5833333333</v>
      </c>
      <c r="D112" s="87" t="n">
        <f aca="false">IF(OR($B112="",26&gt;$O$10),"",$C112+$E112/24)</f>
        <v>46312.625</v>
      </c>
      <c r="E112" s="88" t="n">
        <v>1</v>
      </c>
      <c r="F112" s="89" t="n">
        <v>25</v>
      </c>
      <c r="G112" s="90" t="s">
        <v>49</v>
      </c>
      <c r="H112" s="91" t="n">
        <v>0</v>
      </c>
      <c r="I112" s="92"/>
      <c r="J112" s="93"/>
      <c r="K112" s="92"/>
      <c r="L112" s="93"/>
      <c r="M112" s="94" t="str">
        <f aca="false">IF(OR($Q112="",$R112="",$V112=1),"",($R112-$Q112)*24)</f>
        <v/>
      </c>
      <c r="N112" s="95"/>
      <c r="O112" s="96" t="str">
        <f aca="false">IF(OR($B112="",26&gt;$O$10),"",IF($AB112=1,"! CHECK LINK",IF($V112=1,"! CHECK DATES",IF($S112=1,IF($R112="","Completed",IF($R112&lt;$D112,"Completed - Ahead",IF($R112&lt;=$D112+1/1440,"Completed - On Time","Completed - Delayed"))),IF($Q112&lt;&gt;"",IF($Y112&lt;=0.1,"In Progress - On Track","In Progress - BEHIND"),IF($M$5&lt;$C112,"Not Started","NOT STARTED - LATE"))))))</f>
        <v>Not Started</v>
      </c>
      <c r="P112" s="97"/>
      <c r="Q112" s="0" t="str">
        <f aca="false">IF($I112="","",$I112+IF($J112="",0,$J112))</f>
        <v/>
      </c>
      <c r="R112" s="0" t="str">
        <f aca="false">IF($K112="","",$K112+IF($L112="",0,$L112))</f>
        <v/>
      </c>
      <c r="S112" s="4" t="n">
        <f aca="false">IF($V112=1,0,IF($R112&lt;&gt;"",1,IF($N112="",0,$N112)))</f>
        <v>0</v>
      </c>
      <c r="T112" s="4" t="n">
        <f aca="false">IF(OR($B112="",$E112=0),0,MEDIAN(0,($M$5-$C112)/($E112/24),1))</f>
        <v>0</v>
      </c>
      <c r="U112" s="4" t="n">
        <f aca="false">($S112-$T112)*$E112</f>
        <v>0</v>
      </c>
      <c r="V112" s="4" t="n">
        <f aca="false">IF(OR(AND($Q112&lt;&gt;"",$Q112&lt;$C$8),AND($Q112&lt;&gt;"",$R112&lt;&gt;"",$R112&lt;$Q112),AND($R112&lt;&gt;"",$Q112="")),1,0)</f>
        <v>0</v>
      </c>
      <c r="W112" s="98" t="n">
        <f aca="false">IF($B112="","",IF($S112=1,IF($R112&lt;&gt;"",$R112,$D112),IF($Q112&lt;&gt;"",MAX($M$5,$Q112)+$E112*(1-$S112)/24,MAX($M$5,$C112)+$E112/24)))</f>
        <v>46312.625</v>
      </c>
      <c r="X112" s="4" t="n">
        <f aca="false">IF($B112="","",ROUND(($W112-$D112)*24,1))</f>
        <v>0</v>
      </c>
      <c r="Y112" s="4" t="n">
        <f aca="false">IF($B112="","",IF($Q112&lt;&gt;"",$X112,IF($X112&gt;0,MAX($X112,IF($Y111="",0,IF($Y111&gt;0,$Y111-MAX(0,($C112-$D111)*24),$Y111))),IF($Y111="",0,IF($Y111&gt;0,$Y111-MAX(0,($C112-$D111)*24),$Y111)))))</f>
        <v>18</v>
      </c>
      <c r="AB112" s="4" t="n">
        <f aca="false">IF(AND($B112&lt;&gt;"",$F112&gt;=26),1,0)</f>
        <v>0</v>
      </c>
    </row>
    <row r="113" customFormat="false" ht="19.5" hidden="false" customHeight="true" outlineLevel="0" collapsed="false">
      <c r="A113" s="99" t="s">
        <v>125</v>
      </c>
      <c r="B113" s="100" t="str">
        <f aca="false">IF($B$17="","",$B$17&amp;"   -   sum of activity hours")</f>
        <v>C267  –  KM 212+400   -   sum of activity hours</v>
      </c>
      <c r="C113" s="50"/>
      <c r="D113" s="101" t="n">
        <f aca="false">IF(COUNT($D87:$D112)=0,"",MAX($D87:$D112))</f>
        <v>46312.625</v>
      </c>
      <c r="E113" s="102" t="n">
        <f aca="false">SUM($E87:$E112)</f>
        <v>41</v>
      </c>
      <c r="F113" s="50"/>
      <c r="G113" s="50"/>
      <c r="H113" s="50"/>
      <c r="I113" s="50"/>
      <c r="J113" s="50"/>
      <c r="K113" s="50"/>
      <c r="L113" s="50"/>
      <c r="M113" s="102" t="n">
        <f aca="false">SUM($M87:$M112)</f>
        <v>0</v>
      </c>
      <c r="N113" s="103" t="n">
        <f aca="false">$S113</f>
        <v>0</v>
      </c>
      <c r="O113" s="99" t="str">
        <f aca="false">IF($B$17="","",IF($X113&lt;=0,"ON TRACK","BEHIND"))</f>
        <v>BEHIND</v>
      </c>
      <c r="P113" s="50"/>
      <c r="S113" s="4" t="n">
        <f aca="false">IF($E113=0,0,SUMPRODUCT($E87:$E112,$S87:$S112)/$E113)</f>
        <v>0</v>
      </c>
      <c r="T113" s="4" t="n">
        <f aca="false">IF($E113=0,0,SUMPRODUCT($E87:$E112,$T87:$T112)/$E113)</f>
        <v>0.487804878048781</v>
      </c>
      <c r="U113" s="4" t="n">
        <f aca="false">$S113-$T113</f>
        <v>-0.487804878048781</v>
      </c>
      <c r="W113" s="98" t="n">
        <f aca="false">IF($D113="","",$D113+$X113/24)</f>
        <v>46313.375</v>
      </c>
      <c r="X113" s="4" t="n">
        <f aca="false">IF(COUNT($Y87:$Y112)=0,0,LOOKUP(9.9E+307,$Y87:$Y112))</f>
        <v>18</v>
      </c>
    </row>
    <row r="115" customFormat="false" ht="24" hidden="false" customHeight="true" outlineLevel="0" collapsed="false">
      <c r="A115" s="83" t="str">
        <f aca="false">IF($B$18="","LOCATION 4  -  not used","   LOCATION 4  -  "&amp;$B$18)</f>
        <v>   LOCATION 4  -  C288  –  KM 337+391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</row>
    <row r="116" customFormat="false" ht="30" hidden="false" customHeight="true" outlineLevel="0" collapsed="false">
      <c r="A116" s="11" t="s">
        <v>24</v>
      </c>
      <c r="B116" s="11" t="s">
        <v>85</v>
      </c>
      <c r="C116" s="11" t="s">
        <v>86</v>
      </c>
      <c r="D116" s="11" t="s">
        <v>9</v>
      </c>
      <c r="E116" s="11" t="s">
        <v>87</v>
      </c>
      <c r="F116" s="11" t="s">
        <v>88</v>
      </c>
      <c r="G116" s="11" t="s">
        <v>89</v>
      </c>
      <c r="H116" s="11" t="s">
        <v>90</v>
      </c>
      <c r="I116" s="84" t="s">
        <v>91</v>
      </c>
      <c r="J116" s="84" t="s">
        <v>92</v>
      </c>
      <c r="K116" s="84" t="s">
        <v>93</v>
      </c>
      <c r="L116" s="84" t="s">
        <v>94</v>
      </c>
      <c r="M116" s="11" t="s">
        <v>95</v>
      </c>
      <c r="N116" s="84" t="s">
        <v>96</v>
      </c>
      <c r="O116" s="11" t="s">
        <v>97</v>
      </c>
      <c r="P116" s="84" t="s">
        <v>98</v>
      </c>
    </row>
    <row r="117" customFormat="false" ht="19.5" hidden="false" customHeight="true" outlineLevel="0" collapsed="false">
      <c r="A117" s="85" t="n">
        <f aca="false">IF(OR($B117="",1&gt;$O$10),"",1)</f>
        <v>1</v>
      </c>
      <c r="B117" s="86" t="s">
        <v>130</v>
      </c>
      <c r="C117" s="87" t="n">
        <f aca="true">IF(OR($B117="",1&gt;$O$10),"",IF($F117=0,$C$8,IF($G117="SS",OFFSET($C$116,$F117,0)+$H117/24,IF($G117="FF",OFFSET($D$116,$F117,0)+$H117/24-$E117/24,IF($G117="SF",OFFSET($C$116,$F117,0)+$H117/24-$E117/24,OFFSET($D$116,$F117,0)+$H117/24)))))</f>
        <v>46311</v>
      </c>
      <c r="D117" s="87" t="n">
        <f aca="false">IF(OR($B117="",1&gt;$O$10),"",$C117+$E117/24)</f>
        <v>46311.0416666667</v>
      </c>
      <c r="E117" s="88" t="n">
        <v>1</v>
      </c>
      <c r="F117" s="89" t="n">
        <v>0</v>
      </c>
      <c r="G117" s="90" t="s">
        <v>49</v>
      </c>
      <c r="H117" s="91" t="n">
        <v>0</v>
      </c>
      <c r="I117" s="92"/>
      <c r="J117" s="93"/>
      <c r="K117" s="92"/>
      <c r="L117" s="93"/>
      <c r="M117" s="94" t="str">
        <f aca="false">IF(OR($Q117="",$R117="",$V117=1),"",($R117-$Q117)*24)</f>
        <v/>
      </c>
      <c r="N117" s="95"/>
      <c r="O117" s="96" t="str">
        <f aca="false">IF(OR($B117="",1&gt;$O$10),"",IF($AB117=1,"! CHECK LINK",IF($V117=1,"! CHECK DATES",IF($S117=1,IF($R117="","Completed",IF($R117&lt;$D117,"Completed - Ahead",IF($R117&lt;=$D117+1/1440,"Completed - On Time","Completed - Delayed"))),IF($Q117&lt;&gt;"",IF($Y117&lt;=0.1,"In Progress - On Track","In Progress - BEHIND"),IF($M$5&lt;$C117,"Not Started","NOT STARTED - LATE"))))))</f>
        <v>NOT STARTED - LATE</v>
      </c>
      <c r="P117" s="97"/>
      <c r="Q117" s="0" t="str">
        <f aca="false">IF($I117="","",$I117+IF($J117="",0,$J117))</f>
        <v/>
      </c>
      <c r="R117" s="0" t="str">
        <f aca="false">IF($K117="","",$K117+IF($L117="",0,$L117))</f>
        <v/>
      </c>
      <c r="S117" s="4" t="n">
        <f aca="false">IF($V117=1,0,IF($R117&lt;&gt;"",1,IF($N117="",0,$N117)))</f>
        <v>0</v>
      </c>
      <c r="T117" s="4" t="n">
        <f aca="false">IF(OR($B117="",$E117=0),0,MEDIAN(0,($M$5-$C117)/($E117/24),1))</f>
        <v>1</v>
      </c>
      <c r="U117" s="4" t="n">
        <f aca="false">($S117-$T117)*$E117</f>
        <v>-1</v>
      </c>
      <c r="V117" s="4" t="n">
        <f aca="false">IF(OR(AND($Q117&lt;&gt;"",$Q117&lt;$C$8),AND($Q117&lt;&gt;"",$R117&lt;&gt;"",$R117&lt;$Q117),AND($R117&lt;&gt;"",$Q117="")),1,0)</f>
        <v>0</v>
      </c>
      <c r="W117" s="98" t="n">
        <f aca="false">IF($B117="","",IF($S117=1,IF($R117&lt;&gt;"",$R117,$D117),IF($Q117&lt;&gt;"",MAX($M$5,$Q117)+$E117*(1-$S117)/24,MAX($M$5,$C117)+$E117/24)))</f>
        <v>46311.7916666667</v>
      </c>
      <c r="X117" s="4" t="n">
        <f aca="false">IF($B117="","",ROUND(($W117-$D117)*24,1))</f>
        <v>18</v>
      </c>
      <c r="Y117" s="4" t="n">
        <f aca="false">IF($B117="","",$X117)</f>
        <v>18</v>
      </c>
      <c r="AB117" s="4" t="n">
        <f aca="false">IF(AND($B117&lt;&gt;"",$F117&gt;=1),1,0)</f>
        <v>0</v>
      </c>
    </row>
    <row r="118" customFormat="false" ht="19.5" hidden="false" customHeight="true" outlineLevel="0" collapsed="false">
      <c r="A118" s="85" t="n">
        <f aca="false">IF(OR($B118="",2&gt;$O$10),"",2)</f>
        <v>2</v>
      </c>
      <c r="B118" s="86" t="s">
        <v>100</v>
      </c>
      <c r="C118" s="87" t="n">
        <f aca="true">IF(OR($B118="",2&gt;$O$10),"",IF($F118=0,$C$8,IF($G118="SS",OFFSET($C$116,$F118,0)+$H118/24,IF($G118="FF",OFFSET($D$116,$F118,0)+$H118/24-$E118/24,IF($G118="SF",OFFSET($C$116,$F118,0)+$H118/24-$E118/24,OFFSET($D$116,$F118,0)+$H118/24)))))</f>
        <v>46311.0416666667</v>
      </c>
      <c r="D118" s="87" t="n">
        <f aca="false">IF(OR($B118="",2&gt;$O$10),"",$C118+$E118/24)</f>
        <v>46311.0833333333</v>
      </c>
      <c r="E118" s="88" t="n">
        <v>1</v>
      </c>
      <c r="F118" s="89" t="n">
        <v>1</v>
      </c>
      <c r="G118" s="90" t="s">
        <v>49</v>
      </c>
      <c r="H118" s="91" t="n">
        <v>0</v>
      </c>
      <c r="I118" s="92"/>
      <c r="J118" s="93"/>
      <c r="K118" s="92"/>
      <c r="L118" s="93"/>
      <c r="M118" s="94" t="str">
        <f aca="false">IF(OR($Q118="",$R118="",$V118=1),"",($R118-$Q118)*24)</f>
        <v/>
      </c>
      <c r="N118" s="95"/>
      <c r="O118" s="96" t="str">
        <f aca="false">IF(OR($B118="",2&gt;$O$10),"",IF($AB118=1,"! CHECK LINK",IF($V118=1,"! CHECK DATES",IF($S118=1,IF($R118="","Completed",IF($R118&lt;$D118,"Completed - Ahead",IF($R118&lt;=$D118+1/1440,"Completed - On Time","Completed - Delayed"))),IF($Q118&lt;&gt;"",IF($Y118&lt;=0.1,"In Progress - On Track","In Progress - BEHIND"),IF($M$5&lt;$C118,"Not Started","NOT STARTED - LATE"))))))</f>
        <v>NOT STARTED - LATE</v>
      </c>
      <c r="P118" s="97"/>
      <c r="Q118" s="0" t="str">
        <f aca="false">IF($I118="","",$I118+IF($J118="",0,$J118))</f>
        <v/>
      </c>
      <c r="R118" s="0" t="str">
        <f aca="false">IF($K118="","",$K118+IF($L118="",0,$L118))</f>
        <v/>
      </c>
      <c r="S118" s="4" t="n">
        <f aca="false">IF($V118=1,0,IF($R118&lt;&gt;"",1,IF($N118="",0,$N118)))</f>
        <v>0</v>
      </c>
      <c r="T118" s="4" t="n">
        <f aca="false">IF(OR($B118="",$E118=0),0,MEDIAN(0,($M$5-$C118)/($E118/24),1))</f>
        <v>1</v>
      </c>
      <c r="U118" s="4" t="n">
        <f aca="false">($S118-$T118)*$E118</f>
        <v>-1</v>
      </c>
      <c r="V118" s="4" t="n">
        <f aca="false">IF(OR(AND($Q118&lt;&gt;"",$Q118&lt;$C$8),AND($Q118&lt;&gt;"",$R118&lt;&gt;"",$R118&lt;$Q118),AND($R118&lt;&gt;"",$Q118="")),1,0)</f>
        <v>0</v>
      </c>
      <c r="W118" s="98" t="n">
        <f aca="false">IF($B118="","",IF($S118=1,IF($R118&lt;&gt;"",$R118,$D118),IF($Q118&lt;&gt;"",MAX($M$5,$Q118)+$E118*(1-$S118)/24,MAX($M$5,$C118)+$E118/24)))</f>
        <v>46311.7916666667</v>
      </c>
      <c r="X118" s="4" t="n">
        <f aca="false">IF($B118="","",ROUND(($W118-$D118)*24,1))</f>
        <v>17</v>
      </c>
      <c r="Y118" s="4" t="n">
        <f aca="false">IF($B118="","",IF($Q118&lt;&gt;"",$X118,IF($X118&gt;0,MAX($X118,IF($Y117="",0,IF($Y117&gt;0,$Y117-MAX(0,($C118-$D117)*24),$Y117))),IF($Y117="",0,IF($Y117&gt;0,$Y117-MAX(0,($C118-$D117)*24),$Y117)))))</f>
        <v>18</v>
      </c>
      <c r="AB118" s="4" t="n">
        <f aca="false">IF(AND($B118&lt;&gt;"",$F118&gt;=2),1,0)</f>
        <v>0</v>
      </c>
    </row>
    <row r="119" customFormat="false" ht="19.5" hidden="false" customHeight="true" outlineLevel="0" collapsed="false">
      <c r="A119" s="85" t="n">
        <f aca="false">IF(OR($B119="",3&gt;$O$10),"",3)</f>
        <v>3</v>
      </c>
      <c r="B119" s="86" t="s">
        <v>131</v>
      </c>
      <c r="C119" s="87" t="n">
        <f aca="true">IF(OR($B119="",3&gt;$O$10),"",IF($F119=0,$C$8,IF($G119="SS",OFFSET($C$116,$F119,0)+$H119/24,IF($G119="FF",OFFSET($D$116,$F119,0)+$H119/24-$E119/24,IF($G119="SF",OFFSET($C$116,$F119,0)+$H119/24-$E119/24,OFFSET($D$116,$F119,0)+$H119/24)))))</f>
        <v>46311.0833333333</v>
      </c>
      <c r="D119" s="87" t="n">
        <f aca="false">IF(OR($B119="",3&gt;$O$10),"",$C119+$E119/24)</f>
        <v>46311.125</v>
      </c>
      <c r="E119" s="88" t="n">
        <v>1</v>
      </c>
      <c r="F119" s="89" t="n">
        <v>2</v>
      </c>
      <c r="G119" s="90" t="s">
        <v>49</v>
      </c>
      <c r="H119" s="91" t="n">
        <v>0</v>
      </c>
      <c r="I119" s="92"/>
      <c r="J119" s="93"/>
      <c r="K119" s="92"/>
      <c r="L119" s="93"/>
      <c r="M119" s="94" t="str">
        <f aca="false">IF(OR($Q119="",$R119="",$V119=1),"",($R119-$Q119)*24)</f>
        <v/>
      </c>
      <c r="N119" s="95"/>
      <c r="O119" s="96" t="str">
        <f aca="false">IF(OR($B119="",3&gt;$O$10),"",IF($AB119=1,"! CHECK LINK",IF($V119=1,"! CHECK DATES",IF($S119=1,IF($R119="","Completed",IF($R119&lt;$D119,"Completed - Ahead",IF($R119&lt;=$D119+1/1440,"Completed - On Time","Completed - Delayed"))),IF($Q119&lt;&gt;"",IF($Y119&lt;=0.1,"In Progress - On Track","In Progress - BEHIND"),IF($M$5&lt;$C119,"Not Started","NOT STARTED - LATE"))))))</f>
        <v>NOT STARTED - LATE</v>
      </c>
      <c r="P119" s="97"/>
      <c r="Q119" s="0" t="str">
        <f aca="false">IF($I119="","",$I119+IF($J119="",0,$J119))</f>
        <v/>
      </c>
      <c r="R119" s="0" t="str">
        <f aca="false">IF($K119="","",$K119+IF($L119="",0,$L119))</f>
        <v/>
      </c>
      <c r="S119" s="4" t="n">
        <f aca="false">IF($V119=1,0,IF($R119&lt;&gt;"",1,IF($N119="",0,$N119)))</f>
        <v>0</v>
      </c>
      <c r="T119" s="4" t="n">
        <f aca="false">IF(OR($B119="",$E119=0),0,MEDIAN(0,($M$5-$C119)/($E119/24),1))</f>
        <v>1</v>
      </c>
      <c r="U119" s="4" t="n">
        <f aca="false">($S119-$T119)*$E119</f>
        <v>-1</v>
      </c>
      <c r="V119" s="4" t="n">
        <f aca="false">IF(OR(AND($Q119&lt;&gt;"",$Q119&lt;$C$8),AND($Q119&lt;&gt;"",$R119&lt;&gt;"",$R119&lt;$Q119),AND($R119&lt;&gt;"",$Q119="")),1,0)</f>
        <v>0</v>
      </c>
      <c r="W119" s="98" t="n">
        <f aca="false">IF($B119="","",IF($S119=1,IF($R119&lt;&gt;"",$R119,$D119),IF($Q119&lt;&gt;"",MAX($M$5,$Q119)+$E119*(1-$S119)/24,MAX($M$5,$C119)+$E119/24)))</f>
        <v>46311.7916666667</v>
      </c>
      <c r="X119" s="4" t="n">
        <f aca="false">IF($B119="","",ROUND(($W119-$D119)*24,1))</f>
        <v>16</v>
      </c>
      <c r="Y119" s="4" t="n">
        <f aca="false">IF($B119="","",IF($Q119&lt;&gt;"",$X119,IF($X119&gt;0,MAX($X119,IF($Y118="",0,IF($Y118&gt;0,$Y118-MAX(0,($C119-$D118)*24),$Y118))),IF($Y118="",0,IF($Y118&gt;0,$Y118-MAX(0,($C119-$D118)*24),$Y118)))))</f>
        <v>18</v>
      </c>
      <c r="AB119" s="4" t="n">
        <f aca="false">IF(AND($B119&lt;&gt;"",$F119&gt;=3),1,0)</f>
        <v>0</v>
      </c>
    </row>
    <row r="120" customFormat="false" ht="19.5" hidden="false" customHeight="true" outlineLevel="0" collapsed="false">
      <c r="A120" s="85" t="n">
        <f aca="false">IF(OR($B120="",4&gt;$O$10),"",4)</f>
        <v>4</v>
      </c>
      <c r="B120" s="86" t="s">
        <v>102</v>
      </c>
      <c r="C120" s="87" t="n">
        <f aca="true">IF(OR($B120="",4&gt;$O$10),"",IF($F120=0,$C$8,IF($G120="SS",OFFSET($C$116,$F120,0)+$H120/24,IF($G120="FF",OFFSET($D$116,$F120,0)+$H120/24-$E120/24,IF($G120="SF",OFFSET($C$116,$F120,0)+$H120/24-$E120/24,OFFSET($D$116,$F120,0)+$H120/24)))))</f>
        <v>46311.125</v>
      </c>
      <c r="D120" s="87" t="n">
        <f aca="false">IF(OR($B120="",4&gt;$O$10),"",$C120+$E120/24)</f>
        <v>46311.1666666667</v>
      </c>
      <c r="E120" s="88" t="n">
        <v>1</v>
      </c>
      <c r="F120" s="89" t="n">
        <v>3</v>
      </c>
      <c r="G120" s="90" t="s">
        <v>49</v>
      </c>
      <c r="H120" s="91" t="n">
        <v>0</v>
      </c>
      <c r="I120" s="92"/>
      <c r="J120" s="93"/>
      <c r="K120" s="92"/>
      <c r="L120" s="93"/>
      <c r="M120" s="94" t="str">
        <f aca="false">IF(OR($Q120="",$R120="",$V120=1),"",($R120-$Q120)*24)</f>
        <v/>
      </c>
      <c r="N120" s="95"/>
      <c r="O120" s="96" t="str">
        <f aca="false">IF(OR($B120="",4&gt;$O$10),"",IF($AB120=1,"! CHECK LINK",IF($V120=1,"! CHECK DATES",IF($S120=1,IF($R120="","Completed",IF($R120&lt;$D120,"Completed - Ahead",IF($R120&lt;=$D120+1/1440,"Completed - On Time","Completed - Delayed"))),IF($Q120&lt;&gt;"",IF($Y120&lt;=0.1,"In Progress - On Track","In Progress - BEHIND"),IF($M$5&lt;$C120,"Not Started","NOT STARTED - LATE"))))))</f>
        <v>NOT STARTED - LATE</v>
      </c>
      <c r="P120" s="97"/>
      <c r="Q120" s="0" t="str">
        <f aca="false">IF($I120="","",$I120+IF($J120="",0,$J120))</f>
        <v/>
      </c>
      <c r="R120" s="0" t="str">
        <f aca="false">IF($K120="","",$K120+IF($L120="",0,$L120))</f>
        <v/>
      </c>
      <c r="S120" s="4" t="n">
        <f aca="false">IF($V120=1,0,IF($R120&lt;&gt;"",1,IF($N120="",0,$N120)))</f>
        <v>0</v>
      </c>
      <c r="T120" s="4" t="n">
        <f aca="false">IF(OR($B120="",$E120=0),0,MEDIAN(0,($M$5-$C120)/($E120/24),1))</f>
        <v>1</v>
      </c>
      <c r="U120" s="4" t="n">
        <f aca="false">($S120-$T120)*$E120</f>
        <v>-1</v>
      </c>
      <c r="V120" s="4" t="n">
        <f aca="false">IF(OR(AND($Q120&lt;&gt;"",$Q120&lt;$C$8),AND($Q120&lt;&gt;"",$R120&lt;&gt;"",$R120&lt;$Q120),AND($R120&lt;&gt;"",$Q120="")),1,0)</f>
        <v>0</v>
      </c>
      <c r="W120" s="98" t="n">
        <f aca="false">IF($B120="","",IF($S120=1,IF($R120&lt;&gt;"",$R120,$D120),IF($Q120&lt;&gt;"",MAX($M$5,$Q120)+$E120*(1-$S120)/24,MAX($M$5,$C120)+$E120/24)))</f>
        <v>46311.7916666667</v>
      </c>
      <c r="X120" s="4" t="n">
        <f aca="false">IF($B120="","",ROUND(($W120-$D120)*24,1))</f>
        <v>15</v>
      </c>
      <c r="Y120" s="4" t="n">
        <f aca="false">IF($B120="","",IF($Q120&lt;&gt;"",$X120,IF($X120&gt;0,MAX($X120,IF($Y119="",0,IF($Y119&gt;0,$Y119-MAX(0,($C120-$D119)*24),$Y119))),IF($Y119="",0,IF($Y119&gt;0,$Y119-MAX(0,($C120-$D119)*24),$Y119)))))</f>
        <v>18</v>
      </c>
      <c r="AB120" s="4" t="n">
        <f aca="false">IF(AND($B120&lt;&gt;"",$F120&gt;=4),1,0)</f>
        <v>0</v>
      </c>
    </row>
    <row r="121" customFormat="false" ht="19.5" hidden="false" customHeight="true" outlineLevel="0" collapsed="false">
      <c r="A121" s="85" t="n">
        <f aca="false">IF(OR($B121="",5&gt;$O$10),"",5)</f>
        <v>5</v>
      </c>
      <c r="B121" s="86" t="s">
        <v>103</v>
      </c>
      <c r="C121" s="87" t="n">
        <f aca="true">IF(OR($B121="",5&gt;$O$10),"",IF($F121=0,$C$8,IF($G121="SS",OFFSET($C$116,$F121,0)+$H121/24,IF($G121="FF",OFFSET($D$116,$F121,0)+$H121/24-$E121/24,IF($G121="SF",OFFSET($C$116,$F121,0)+$H121/24-$E121/24,OFFSET($D$116,$F121,0)+$H121/24)))))</f>
        <v>46311.1666666667</v>
      </c>
      <c r="D121" s="87" t="n">
        <f aca="false">IF(OR($B121="",5&gt;$O$10),"",$C121+$E121/24)</f>
        <v>46311.2083333333</v>
      </c>
      <c r="E121" s="88" t="n">
        <v>1</v>
      </c>
      <c r="F121" s="89" t="n">
        <v>4</v>
      </c>
      <c r="G121" s="90" t="s">
        <v>49</v>
      </c>
      <c r="H121" s="91" t="n">
        <v>0</v>
      </c>
      <c r="I121" s="92"/>
      <c r="J121" s="93"/>
      <c r="K121" s="92"/>
      <c r="L121" s="93"/>
      <c r="M121" s="94" t="str">
        <f aca="false">IF(OR($Q121="",$R121="",$V121=1),"",($R121-$Q121)*24)</f>
        <v/>
      </c>
      <c r="N121" s="95"/>
      <c r="O121" s="96" t="str">
        <f aca="false">IF(OR($B121="",5&gt;$O$10),"",IF($AB121=1,"! CHECK LINK",IF($V121=1,"! CHECK DATES",IF($S121=1,IF($R121="","Completed",IF($R121&lt;$D121,"Completed - Ahead",IF($R121&lt;=$D121+1/1440,"Completed - On Time","Completed - Delayed"))),IF($Q121&lt;&gt;"",IF($Y121&lt;=0.1,"In Progress - On Track","In Progress - BEHIND"),IF($M$5&lt;$C121,"Not Started","NOT STARTED - LATE"))))))</f>
        <v>NOT STARTED - LATE</v>
      </c>
      <c r="P121" s="97"/>
      <c r="Q121" s="0" t="str">
        <f aca="false">IF($I121="","",$I121+IF($J121="",0,$J121))</f>
        <v/>
      </c>
      <c r="R121" s="0" t="str">
        <f aca="false">IF($K121="","",$K121+IF($L121="",0,$L121))</f>
        <v/>
      </c>
      <c r="S121" s="4" t="n">
        <f aca="false">IF($V121=1,0,IF($R121&lt;&gt;"",1,IF($N121="",0,$N121)))</f>
        <v>0</v>
      </c>
      <c r="T121" s="4" t="n">
        <f aca="false">IF(OR($B121="",$E121=0),0,MEDIAN(0,($M$5-$C121)/($E121/24),1))</f>
        <v>1</v>
      </c>
      <c r="U121" s="4" t="n">
        <f aca="false">($S121-$T121)*$E121</f>
        <v>-1</v>
      </c>
      <c r="V121" s="4" t="n">
        <f aca="false">IF(OR(AND($Q121&lt;&gt;"",$Q121&lt;$C$8),AND($Q121&lt;&gt;"",$R121&lt;&gt;"",$R121&lt;$Q121),AND($R121&lt;&gt;"",$Q121="")),1,0)</f>
        <v>0</v>
      </c>
      <c r="W121" s="98" t="n">
        <f aca="false">IF($B121="","",IF($S121=1,IF($R121&lt;&gt;"",$R121,$D121),IF($Q121&lt;&gt;"",MAX($M$5,$Q121)+$E121*(1-$S121)/24,MAX($M$5,$C121)+$E121/24)))</f>
        <v>46311.7916666667</v>
      </c>
      <c r="X121" s="4" t="n">
        <f aca="false">IF($B121="","",ROUND(($W121-$D121)*24,1))</f>
        <v>14</v>
      </c>
      <c r="Y121" s="4" t="n">
        <f aca="false">IF($B121="","",IF($Q121&lt;&gt;"",$X121,IF($X121&gt;0,MAX($X121,IF($Y120="",0,IF($Y120&gt;0,$Y120-MAX(0,($C121-$D120)*24),$Y120))),IF($Y120="",0,IF($Y120&gt;0,$Y120-MAX(0,($C121-$D120)*24),$Y120)))))</f>
        <v>18</v>
      </c>
      <c r="AB121" s="4" t="n">
        <f aca="false">IF(AND($B121&lt;&gt;"",$F121&gt;=5),1,0)</f>
        <v>0</v>
      </c>
    </row>
    <row r="122" customFormat="false" ht="19.5" hidden="false" customHeight="true" outlineLevel="0" collapsed="false">
      <c r="A122" s="85" t="n">
        <f aca="false">IF(OR($B122="",6&gt;$O$10),"",6)</f>
        <v>6</v>
      </c>
      <c r="B122" s="86" t="s">
        <v>104</v>
      </c>
      <c r="C122" s="87" t="n">
        <f aca="true">IF(OR($B122="",6&gt;$O$10),"",IF($F122=0,$C$8,IF($G122="SS",OFFSET($C$116,$F122,0)+$H122/24,IF($G122="FF",OFFSET($D$116,$F122,0)+$H122/24-$E122/24,IF($G122="SF",OFFSET($C$116,$F122,0)+$H122/24-$E122/24,OFFSET($D$116,$F122,0)+$H122/24)))))</f>
        <v>46311.2083333333</v>
      </c>
      <c r="D122" s="87" t="n">
        <f aca="false">IF(OR($B122="",6&gt;$O$10),"",$C122+$E122/24)</f>
        <v>46311.2916666667</v>
      </c>
      <c r="E122" s="88" t="n">
        <v>2</v>
      </c>
      <c r="F122" s="89" t="n">
        <v>5</v>
      </c>
      <c r="G122" s="90" t="s">
        <v>49</v>
      </c>
      <c r="H122" s="91" t="n">
        <v>0</v>
      </c>
      <c r="I122" s="92"/>
      <c r="J122" s="93"/>
      <c r="K122" s="92"/>
      <c r="L122" s="93"/>
      <c r="M122" s="94" t="str">
        <f aca="false">IF(OR($Q122="",$R122="",$V122=1),"",($R122-$Q122)*24)</f>
        <v/>
      </c>
      <c r="N122" s="95"/>
      <c r="O122" s="96" t="str">
        <f aca="false">IF(OR($B122="",6&gt;$O$10),"",IF($AB122=1,"! CHECK LINK",IF($V122=1,"! CHECK DATES",IF($S122=1,IF($R122="","Completed",IF($R122&lt;$D122,"Completed - Ahead",IF($R122&lt;=$D122+1/1440,"Completed - On Time","Completed - Delayed"))),IF($Q122&lt;&gt;"",IF($Y122&lt;=0.1,"In Progress - On Track","In Progress - BEHIND"),IF($M$5&lt;$C122,"Not Started","NOT STARTED - LATE"))))))</f>
        <v>NOT STARTED - LATE</v>
      </c>
      <c r="P122" s="97"/>
      <c r="Q122" s="0" t="str">
        <f aca="false">IF($I122="","",$I122+IF($J122="",0,$J122))</f>
        <v/>
      </c>
      <c r="R122" s="0" t="str">
        <f aca="false">IF($K122="","",$K122+IF($L122="",0,$L122))</f>
        <v/>
      </c>
      <c r="S122" s="4" t="n">
        <f aca="false">IF($V122=1,0,IF($R122&lt;&gt;"",1,IF($N122="",0,$N122)))</f>
        <v>0</v>
      </c>
      <c r="T122" s="4" t="n">
        <f aca="false">IF(OR($B122="",$E122=0),0,MEDIAN(0,($M$5-$C122)/($E122/24),1))</f>
        <v>1</v>
      </c>
      <c r="U122" s="4" t="n">
        <f aca="false">($S122-$T122)*$E122</f>
        <v>-2</v>
      </c>
      <c r="V122" s="4" t="n">
        <f aca="false">IF(OR(AND($Q122&lt;&gt;"",$Q122&lt;$C$8),AND($Q122&lt;&gt;"",$R122&lt;&gt;"",$R122&lt;$Q122),AND($R122&lt;&gt;"",$Q122="")),1,0)</f>
        <v>0</v>
      </c>
      <c r="W122" s="98" t="n">
        <f aca="false">IF($B122="","",IF($S122=1,IF($R122&lt;&gt;"",$R122,$D122),IF($Q122&lt;&gt;"",MAX($M$5,$Q122)+$E122*(1-$S122)/24,MAX($M$5,$C122)+$E122/24)))</f>
        <v>46311.8333333333</v>
      </c>
      <c r="X122" s="4" t="n">
        <f aca="false">IF($B122="","",ROUND(($W122-$D122)*24,1))</f>
        <v>13</v>
      </c>
      <c r="Y122" s="4" t="n">
        <f aca="false">IF($B122="","",IF($Q122&lt;&gt;"",$X122,IF($X122&gt;0,MAX($X122,IF($Y121="",0,IF($Y121&gt;0,$Y121-MAX(0,($C122-$D121)*24),$Y121))),IF($Y121="",0,IF($Y121&gt;0,$Y121-MAX(0,($C122-$D121)*24),$Y121)))))</f>
        <v>18</v>
      </c>
      <c r="AB122" s="4" t="n">
        <f aca="false">IF(AND($B122&lt;&gt;"",$F122&gt;=6),1,0)</f>
        <v>0</v>
      </c>
    </row>
    <row r="123" customFormat="false" ht="19.5" hidden="false" customHeight="true" outlineLevel="0" collapsed="false">
      <c r="A123" s="85" t="n">
        <f aca="false">IF(OR($B123="",7&gt;$O$10),"",7)</f>
        <v>7</v>
      </c>
      <c r="B123" s="86" t="s">
        <v>105</v>
      </c>
      <c r="C123" s="87" t="n">
        <f aca="true">IF(OR($B123="",7&gt;$O$10),"",IF($F123=0,$C$8,IF($G123="SS",OFFSET($C$116,$F123,0)+$H123/24,IF($G123="FF",OFFSET($D$116,$F123,0)+$H123/24-$E123/24,IF($G123="SF",OFFSET($C$116,$F123,0)+$H123/24-$E123/24,OFFSET($D$116,$F123,0)+$H123/24)))))</f>
        <v>46311.2916666667</v>
      </c>
      <c r="D123" s="87" t="n">
        <f aca="false">IF(OR($B123="",7&gt;$O$10),"",$C123+$E123/24)</f>
        <v>46311.375</v>
      </c>
      <c r="E123" s="88" t="n">
        <v>2</v>
      </c>
      <c r="F123" s="89" t="n">
        <v>6</v>
      </c>
      <c r="G123" s="90" t="s">
        <v>49</v>
      </c>
      <c r="H123" s="91" t="n">
        <v>0</v>
      </c>
      <c r="I123" s="92"/>
      <c r="J123" s="93"/>
      <c r="K123" s="92"/>
      <c r="L123" s="93"/>
      <c r="M123" s="94" t="str">
        <f aca="false">IF(OR($Q123="",$R123="",$V123=1),"",($R123-$Q123)*24)</f>
        <v/>
      </c>
      <c r="N123" s="95"/>
      <c r="O123" s="96" t="str">
        <f aca="false">IF(OR($B123="",7&gt;$O$10),"",IF($AB123=1,"! CHECK LINK",IF($V123=1,"! CHECK DATES",IF($S123=1,IF($R123="","Completed",IF($R123&lt;$D123,"Completed - Ahead",IF($R123&lt;=$D123+1/1440,"Completed - On Time","Completed - Delayed"))),IF($Q123&lt;&gt;"",IF($Y123&lt;=0.1,"In Progress - On Track","In Progress - BEHIND"),IF($M$5&lt;$C123,"Not Started","NOT STARTED - LATE"))))))</f>
        <v>NOT STARTED - LATE</v>
      </c>
      <c r="P123" s="97"/>
      <c r="Q123" s="0" t="str">
        <f aca="false">IF($I123="","",$I123+IF($J123="",0,$J123))</f>
        <v/>
      </c>
      <c r="R123" s="0" t="str">
        <f aca="false">IF($K123="","",$K123+IF($L123="",0,$L123))</f>
        <v/>
      </c>
      <c r="S123" s="4" t="n">
        <f aca="false">IF($V123=1,0,IF($R123&lt;&gt;"",1,IF($N123="",0,$N123)))</f>
        <v>0</v>
      </c>
      <c r="T123" s="4" t="n">
        <f aca="false">IF(OR($B123="",$E123=0),0,MEDIAN(0,($M$5-$C123)/($E123/24),1))</f>
        <v>1</v>
      </c>
      <c r="U123" s="4" t="n">
        <f aca="false">($S123-$T123)*$E123</f>
        <v>-2</v>
      </c>
      <c r="V123" s="4" t="n">
        <f aca="false">IF(OR(AND($Q123&lt;&gt;"",$Q123&lt;$C$8),AND($Q123&lt;&gt;"",$R123&lt;&gt;"",$R123&lt;$Q123),AND($R123&lt;&gt;"",$Q123="")),1,0)</f>
        <v>0</v>
      </c>
      <c r="W123" s="98" t="n">
        <f aca="false">IF($B123="","",IF($S123=1,IF($R123&lt;&gt;"",$R123,$D123),IF($Q123&lt;&gt;"",MAX($M$5,$Q123)+$E123*(1-$S123)/24,MAX($M$5,$C123)+$E123/24)))</f>
        <v>46311.8333333333</v>
      </c>
      <c r="X123" s="4" t="n">
        <f aca="false">IF($B123="","",ROUND(($W123-$D123)*24,1))</f>
        <v>11</v>
      </c>
      <c r="Y123" s="4" t="n">
        <f aca="false">IF($B123="","",IF($Q123&lt;&gt;"",$X123,IF($X123&gt;0,MAX($X123,IF($Y122="",0,IF($Y122&gt;0,$Y122-MAX(0,($C123-$D122)*24),$Y122))),IF($Y122="",0,IF($Y122&gt;0,$Y122-MAX(0,($C123-$D122)*24),$Y122)))))</f>
        <v>18</v>
      </c>
      <c r="AB123" s="4" t="n">
        <f aca="false">IF(AND($B123&lt;&gt;"",$F123&gt;=7),1,0)</f>
        <v>0</v>
      </c>
    </row>
    <row r="124" customFormat="false" ht="19.5" hidden="false" customHeight="true" outlineLevel="0" collapsed="false">
      <c r="A124" s="85" t="n">
        <f aca="false">IF(OR($B124="",8&gt;$O$10),"",8)</f>
        <v>8</v>
      </c>
      <c r="B124" s="86" t="s">
        <v>106</v>
      </c>
      <c r="C124" s="87" t="n">
        <f aca="true">IF(OR($B124="",8&gt;$O$10),"",IF($F124=0,$C$8,IF($G124="SS",OFFSET($C$116,$F124,0)+$H124/24,IF($G124="FF",OFFSET($D$116,$F124,0)+$H124/24-$E124/24,IF($G124="SF",OFFSET($C$116,$F124,0)+$H124/24-$E124/24,OFFSET($D$116,$F124,0)+$H124/24)))))</f>
        <v>46311.375</v>
      </c>
      <c r="D124" s="87" t="n">
        <f aca="false">IF(OR($B124="",8&gt;$O$10),"",$C124+$E124/24)</f>
        <v>46311.5</v>
      </c>
      <c r="E124" s="88" t="n">
        <v>3</v>
      </c>
      <c r="F124" s="89" t="n">
        <v>7</v>
      </c>
      <c r="G124" s="90" t="s">
        <v>49</v>
      </c>
      <c r="H124" s="91" t="n">
        <v>0</v>
      </c>
      <c r="I124" s="92"/>
      <c r="J124" s="93"/>
      <c r="K124" s="92"/>
      <c r="L124" s="93"/>
      <c r="M124" s="94" t="str">
        <f aca="false">IF(OR($Q124="",$R124="",$V124=1),"",($R124-$Q124)*24)</f>
        <v/>
      </c>
      <c r="N124" s="95"/>
      <c r="O124" s="96" t="str">
        <f aca="false">IF(OR($B124="",8&gt;$O$10),"",IF($AB124=1,"! CHECK LINK",IF($V124=1,"! CHECK DATES",IF($S124=1,IF($R124="","Completed",IF($R124&lt;$D124,"Completed - Ahead",IF($R124&lt;=$D124+1/1440,"Completed - On Time","Completed - Delayed"))),IF($Q124&lt;&gt;"",IF($Y124&lt;=0.1,"In Progress - On Track","In Progress - BEHIND"),IF($M$5&lt;$C124,"Not Started","NOT STARTED - LATE"))))))</f>
        <v>NOT STARTED - LATE</v>
      </c>
      <c r="P124" s="97"/>
      <c r="Q124" s="0" t="str">
        <f aca="false">IF($I124="","",$I124+IF($J124="",0,$J124))</f>
        <v/>
      </c>
      <c r="R124" s="0" t="str">
        <f aca="false">IF($K124="","",$K124+IF($L124="",0,$L124))</f>
        <v/>
      </c>
      <c r="S124" s="4" t="n">
        <f aca="false">IF($V124=1,0,IF($R124&lt;&gt;"",1,IF($N124="",0,$N124)))</f>
        <v>0</v>
      </c>
      <c r="T124" s="4" t="n">
        <f aca="false">IF(OR($B124="",$E124=0),0,MEDIAN(0,($M$5-$C124)/($E124/24),1))</f>
        <v>1</v>
      </c>
      <c r="U124" s="4" t="n">
        <f aca="false">($S124-$T124)*$E124</f>
        <v>-3</v>
      </c>
      <c r="V124" s="4" t="n">
        <f aca="false">IF(OR(AND($Q124&lt;&gt;"",$Q124&lt;$C$8),AND($Q124&lt;&gt;"",$R124&lt;&gt;"",$R124&lt;$Q124),AND($R124&lt;&gt;"",$Q124="")),1,0)</f>
        <v>0</v>
      </c>
      <c r="W124" s="98" t="n">
        <f aca="false">IF($B124="","",IF($S124=1,IF($R124&lt;&gt;"",$R124,$D124),IF($Q124&lt;&gt;"",MAX($M$5,$Q124)+$E124*(1-$S124)/24,MAX($M$5,$C124)+$E124/24)))</f>
        <v>46311.875</v>
      </c>
      <c r="X124" s="4" t="n">
        <f aca="false">IF($B124="","",ROUND(($W124-$D124)*24,1))</f>
        <v>9</v>
      </c>
      <c r="Y124" s="4" t="n">
        <f aca="false">IF($B124="","",IF($Q124&lt;&gt;"",$X124,IF($X124&gt;0,MAX($X124,IF($Y123="",0,IF($Y123&gt;0,$Y123-MAX(0,($C124-$D123)*24),$Y123))),IF($Y123="",0,IF($Y123&gt;0,$Y123-MAX(0,($C124-$D123)*24),$Y123)))))</f>
        <v>18</v>
      </c>
      <c r="AB124" s="4" t="n">
        <f aca="false">IF(AND($B124&lt;&gt;"",$F124&gt;=8),1,0)</f>
        <v>0</v>
      </c>
    </row>
    <row r="125" customFormat="false" ht="19.5" hidden="false" customHeight="true" outlineLevel="0" collapsed="false">
      <c r="A125" s="85" t="n">
        <f aca="false">IF(OR($B125="",9&gt;$O$10),"",9)</f>
        <v>9</v>
      </c>
      <c r="B125" s="86" t="s">
        <v>107</v>
      </c>
      <c r="C125" s="87" t="n">
        <f aca="true">IF(OR($B125="",9&gt;$O$10),"",IF($F125=0,$C$8,IF($G125="SS",OFFSET($C$116,$F125,0)+$H125/24,IF($G125="FF",OFFSET($D$116,$F125,0)+$H125/24-$E125/24,IF($G125="SF",OFFSET($C$116,$F125,0)+$H125/24-$E125/24,OFFSET($D$116,$F125,0)+$H125/24)))))</f>
        <v>46311.5</v>
      </c>
      <c r="D125" s="87" t="n">
        <f aca="false">IF(OR($B125="",9&gt;$O$10),"",$C125+$E125/24)</f>
        <v>46311.5833333333</v>
      </c>
      <c r="E125" s="88" t="n">
        <v>2</v>
      </c>
      <c r="F125" s="89" t="n">
        <v>8</v>
      </c>
      <c r="G125" s="90" t="s">
        <v>49</v>
      </c>
      <c r="H125" s="91" t="n">
        <v>0</v>
      </c>
      <c r="I125" s="92"/>
      <c r="J125" s="93"/>
      <c r="K125" s="92"/>
      <c r="L125" s="93"/>
      <c r="M125" s="94" t="str">
        <f aca="false">IF(OR($Q125="",$R125="",$V125=1),"",($R125-$Q125)*24)</f>
        <v/>
      </c>
      <c r="N125" s="95"/>
      <c r="O125" s="96" t="str">
        <f aca="false">IF(OR($B125="",9&gt;$O$10),"",IF($AB125=1,"! CHECK LINK",IF($V125=1,"! CHECK DATES",IF($S125=1,IF($R125="","Completed",IF($R125&lt;$D125,"Completed - Ahead",IF($R125&lt;=$D125+1/1440,"Completed - On Time","Completed - Delayed"))),IF($Q125&lt;&gt;"",IF($Y125&lt;=0.1,"In Progress - On Track","In Progress - BEHIND"),IF($M$5&lt;$C125,"Not Started","NOT STARTED - LATE"))))))</f>
        <v>NOT STARTED - LATE</v>
      </c>
      <c r="P125" s="97"/>
      <c r="Q125" s="0" t="str">
        <f aca="false">IF($I125="","",$I125+IF($J125="",0,$J125))</f>
        <v/>
      </c>
      <c r="R125" s="0" t="str">
        <f aca="false">IF($K125="","",$K125+IF($L125="",0,$L125))</f>
        <v/>
      </c>
      <c r="S125" s="4" t="n">
        <f aca="false">IF($V125=1,0,IF($R125&lt;&gt;"",1,IF($N125="",0,$N125)))</f>
        <v>0</v>
      </c>
      <c r="T125" s="4" t="n">
        <f aca="false">IF(OR($B125="",$E125=0),0,MEDIAN(0,($M$5-$C125)/($E125/24),1))</f>
        <v>1</v>
      </c>
      <c r="U125" s="4" t="n">
        <f aca="false">($S125-$T125)*$E125</f>
        <v>-2</v>
      </c>
      <c r="V125" s="4" t="n">
        <f aca="false">IF(OR(AND($Q125&lt;&gt;"",$Q125&lt;$C$8),AND($Q125&lt;&gt;"",$R125&lt;&gt;"",$R125&lt;$Q125),AND($R125&lt;&gt;"",$Q125="")),1,0)</f>
        <v>0</v>
      </c>
      <c r="W125" s="98" t="n">
        <f aca="false">IF($B125="","",IF($S125=1,IF($R125&lt;&gt;"",$R125,$D125),IF($Q125&lt;&gt;"",MAX($M$5,$Q125)+$E125*(1-$S125)/24,MAX($M$5,$C125)+$E125/24)))</f>
        <v>46311.8333333333</v>
      </c>
      <c r="X125" s="4" t="n">
        <f aca="false">IF($B125="","",ROUND(($W125-$D125)*24,1))</f>
        <v>6</v>
      </c>
      <c r="Y125" s="4" t="n">
        <f aca="false">IF($B125="","",IF($Q125&lt;&gt;"",$X125,IF($X125&gt;0,MAX($X125,IF($Y124="",0,IF($Y124&gt;0,$Y124-MAX(0,($C125-$D124)*24),$Y124))),IF($Y124="",0,IF($Y124&gt;0,$Y124-MAX(0,($C125-$D124)*24),$Y124)))))</f>
        <v>18</v>
      </c>
      <c r="AB125" s="4" t="n">
        <f aca="false">IF(AND($B125&lt;&gt;"",$F125&gt;=9),1,0)</f>
        <v>0</v>
      </c>
    </row>
    <row r="126" customFormat="false" ht="19.5" hidden="false" customHeight="true" outlineLevel="0" collapsed="false">
      <c r="A126" s="85" t="n">
        <f aca="false">IF(OR($B126="",10&gt;$O$10),"",10)</f>
        <v>10</v>
      </c>
      <c r="B126" s="86" t="s">
        <v>108</v>
      </c>
      <c r="C126" s="87" t="n">
        <f aca="true">IF(OR($B126="",10&gt;$O$10),"",IF($F126=0,$C$8,IF($G126="SS",OFFSET($C$116,$F126,0)+$H126/24,IF($G126="FF",OFFSET($D$116,$F126,0)+$H126/24-$E126/24,IF($G126="SF",OFFSET($C$116,$F126,0)+$H126/24-$E126/24,OFFSET($D$116,$F126,0)+$H126/24)))))</f>
        <v>46311.5833333333</v>
      </c>
      <c r="D126" s="87" t="n">
        <f aca="false">IF(OR($B126="",10&gt;$O$10),"",$C126+$E126/24)</f>
        <v>46311.7083333333</v>
      </c>
      <c r="E126" s="88" t="n">
        <v>3</v>
      </c>
      <c r="F126" s="89" t="n">
        <v>9</v>
      </c>
      <c r="G126" s="90" t="s">
        <v>49</v>
      </c>
      <c r="H126" s="91" t="n">
        <v>0</v>
      </c>
      <c r="I126" s="92"/>
      <c r="J126" s="93"/>
      <c r="K126" s="92"/>
      <c r="L126" s="93"/>
      <c r="M126" s="94" t="str">
        <f aca="false">IF(OR($Q126="",$R126="",$V126=1),"",($R126-$Q126)*24)</f>
        <v/>
      </c>
      <c r="N126" s="95"/>
      <c r="O126" s="96" t="str">
        <f aca="false">IF(OR($B126="",10&gt;$O$10),"",IF($AB126=1,"! CHECK LINK",IF($V126=1,"! CHECK DATES",IF($S126=1,IF($R126="","Completed",IF($R126&lt;$D126,"Completed - Ahead",IF($R126&lt;=$D126+1/1440,"Completed - On Time","Completed - Delayed"))),IF($Q126&lt;&gt;"",IF($Y126&lt;=0.1,"In Progress - On Track","In Progress - BEHIND"),IF($M$5&lt;$C126,"Not Started","NOT STARTED - LATE"))))))</f>
        <v>NOT STARTED - LATE</v>
      </c>
      <c r="P126" s="97"/>
      <c r="Q126" s="0" t="str">
        <f aca="false">IF($I126="","",$I126+IF($J126="",0,$J126))</f>
        <v/>
      </c>
      <c r="R126" s="0" t="str">
        <f aca="false">IF($K126="","",$K126+IF($L126="",0,$L126))</f>
        <v/>
      </c>
      <c r="S126" s="4" t="n">
        <f aca="false">IF($V126=1,0,IF($R126&lt;&gt;"",1,IF($N126="",0,$N126)))</f>
        <v>0</v>
      </c>
      <c r="T126" s="4" t="n">
        <f aca="false">IF(OR($B126="",$E126=0),0,MEDIAN(0,($M$5-$C126)/($E126/24),1))</f>
        <v>1</v>
      </c>
      <c r="U126" s="4" t="n">
        <f aca="false">($S126-$T126)*$E126</f>
        <v>-3</v>
      </c>
      <c r="V126" s="4" t="n">
        <f aca="false">IF(OR(AND($Q126&lt;&gt;"",$Q126&lt;$C$8),AND($Q126&lt;&gt;"",$R126&lt;&gt;"",$R126&lt;$Q126),AND($R126&lt;&gt;"",$Q126="")),1,0)</f>
        <v>0</v>
      </c>
      <c r="W126" s="98" t="n">
        <f aca="false">IF($B126="","",IF($S126=1,IF($R126&lt;&gt;"",$R126,$D126),IF($Q126&lt;&gt;"",MAX($M$5,$Q126)+$E126*(1-$S126)/24,MAX($M$5,$C126)+$E126/24)))</f>
        <v>46311.875</v>
      </c>
      <c r="X126" s="4" t="n">
        <f aca="false">IF($B126="","",ROUND(($W126-$D126)*24,1))</f>
        <v>4</v>
      </c>
      <c r="Y126" s="4" t="n">
        <f aca="false">IF($B126="","",IF($Q126&lt;&gt;"",$X126,IF($X126&gt;0,MAX($X126,IF($Y125="",0,IF($Y125&gt;0,$Y125-MAX(0,($C126-$D125)*24),$Y125))),IF($Y125="",0,IF($Y125&gt;0,$Y125-MAX(0,($C126-$D125)*24),$Y125)))))</f>
        <v>18</v>
      </c>
      <c r="AB126" s="4" t="n">
        <f aca="false">IF(AND($B126&lt;&gt;"",$F126&gt;=10),1,0)</f>
        <v>0</v>
      </c>
    </row>
    <row r="127" customFormat="false" ht="19.5" hidden="false" customHeight="true" outlineLevel="0" collapsed="false">
      <c r="A127" s="85" t="n">
        <f aca="false">IF(OR($B127="",11&gt;$O$10),"",11)</f>
        <v>11</v>
      </c>
      <c r="B127" s="86" t="s">
        <v>109</v>
      </c>
      <c r="C127" s="87" t="n">
        <f aca="true">IF(OR($B127="",11&gt;$O$10),"",IF($F127=0,$C$8,IF($G127="SS",OFFSET($C$116,$F127,0)+$H127/24,IF($G127="FF",OFFSET($D$116,$F127,0)+$H127/24-$E127/24,IF($G127="SF",OFFSET($C$116,$F127,0)+$H127/24-$E127/24,OFFSET($D$116,$F127,0)+$H127/24)))))</f>
        <v>46311.7083333333</v>
      </c>
      <c r="D127" s="87" t="n">
        <f aca="false">IF(OR($B127="",11&gt;$O$10),"",$C127+$E127/24)</f>
        <v>46311.7916666667</v>
      </c>
      <c r="E127" s="88" t="n">
        <v>2</v>
      </c>
      <c r="F127" s="89" t="n">
        <v>10</v>
      </c>
      <c r="G127" s="90" t="s">
        <v>49</v>
      </c>
      <c r="H127" s="91" t="n">
        <v>0</v>
      </c>
      <c r="I127" s="92"/>
      <c r="J127" s="93"/>
      <c r="K127" s="92"/>
      <c r="L127" s="93"/>
      <c r="M127" s="94" t="str">
        <f aca="false">IF(OR($Q127="",$R127="",$V127=1),"",($R127-$Q127)*24)</f>
        <v/>
      </c>
      <c r="N127" s="95"/>
      <c r="O127" s="96" t="str">
        <f aca="false">IF(OR($B127="",11&gt;$O$10),"",IF($AB127=1,"! CHECK LINK",IF($V127=1,"! CHECK DATES",IF($S127=1,IF($R127="","Completed",IF($R127&lt;$D127,"Completed - Ahead",IF($R127&lt;=$D127+1/1440,"Completed - On Time","Completed - Delayed"))),IF($Q127&lt;&gt;"",IF($Y127&lt;=0.1,"In Progress - On Track","In Progress - BEHIND"),IF($M$5&lt;$C127,"Not Started","NOT STARTED - LATE"))))))</f>
        <v>NOT STARTED - LATE</v>
      </c>
      <c r="P127" s="97"/>
      <c r="Q127" s="0" t="str">
        <f aca="false">IF($I127="","",$I127+IF($J127="",0,$J127))</f>
        <v/>
      </c>
      <c r="R127" s="0" t="str">
        <f aca="false">IF($K127="","",$K127+IF($L127="",0,$L127))</f>
        <v/>
      </c>
      <c r="S127" s="4" t="n">
        <f aca="false">IF($V127=1,0,IF($R127&lt;&gt;"",1,IF($N127="",0,$N127)))</f>
        <v>0</v>
      </c>
      <c r="T127" s="4" t="n">
        <f aca="false">IF(OR($B127="",$E127=0),0,MEDIAN(0,($M$5-$C127)/($E127/24),1))</f>
        <v>0.5</v>
      </c>
      <c r="U127" s="4" t="n">
        <f aca="false">($S127-$T127)*$E127</f>
        <v>-1</v>
      </c>
      <c r="V127" s="4" t="n">
        <f aca="false">IF(OR(AND($Q127&lt;&gt;"",$Q127&lt;$C$8),AND($Q127&lt;&gt;"",$R127&lt;&gt;"",$R127&lt;$Q127),AND($R127&lt;&gt;"",$Q127="")),1,0)</f>
        <v>0</v>
      </c>
      <c r="W127" s="98" t="n">
        <f aca="false">IF($B127="","",IF($S127=1,IF($R127&lt;&gt;"",$R127,$D127),IF($Q127&lt;&gt;"",MAX($M$5,$Q127)+$E127*(1-$S127)/24,MAX($M$5,$C127)+$E127/24)))</f>
        <v>46311.8333333333</v>
      </c>
      <c r="X127" s="4" t="n">
        <f aca="false">IF($B127="","",ROUND(($W127-$D127)*24,1))</f>
        <v>1</v>
      </c>
      <c r="Y127" s="4" t="n">
        <f aca="false">IF($B127="","",IF($Q127&lt;&gt;"",$X127,IF($X127&gt;0,MAX($X127,IF($Y126="",0,IF($Y126&gt;0,$Y126-MAX(0,($C127-$D126)*24),$Y126))),IF($Y126="",0,IF($Y126&gt;0,$Y126-MAX(0,($C127-$D126)*24),$Y126)))))</f>
        <v>18</v>
      </c>
      <c r="AB127" s="4" t="n">
        <f aca="false">IF(AND($B127&lt;&gt;"",$F127&gt;=11),1,0)</f>
        <v>0</v>
      </c>
    </row>
    <row r="128" customFormat="false" ht="19.5" hidden="false" customHeight="true" outlineLevel="0" collapsed="false">
      <c r="A128" s="85" t="n">
        <f aca="false">IF(OR($B128="",12&gt;$O$10),"",12)</f>
        <v>12</v>
      </c>
      <c r="B128" s="86" t="s">
        <v>110</v>
      </c>
      <c r="C128" s="87" t="n">
        <f aca="true">IF(OR($B128="",12&gt;$O$10),"",IF($F128=0,$C$8,IF($G128="SS",OFFSET($C$116,$F128,0)+$H128/24,IF($G128="FF",OFFSET($D$116,$F128,0)+$H128/24-$E128/24,IF($G128="SF",OFFSET($C$116,$F128,0)+$H128/24-$E128/24,OFFSET($D$116,$F128,0)+$H128/24)))))</f>
        <v>46311.7916666667</v>
      </c>
      <c r="D128" s="87" t="n">
        <f aca="false">IF(OR($B128="",12&gt;$O$10),"",$C128+$E128/24)</f>
        <v>46311.8333333333</v>
      </c>
      <c r="E128" s="88" t="n">
        <v>1</v>
      </c>
      <c r="F128" s="89" t="n">
        <v>11</v>
      </c>
      <c r="G128" s="90" t="s">
        <v>49</v>
      </c>
      <c r="H128" s="91" t="n">
        <v>0</v>
      </c>
      <c r="I128" s="92"/>
      <c r="J128" s="93"/>
      <c r="K128" s="92"/>
      <c r="L128" s="93"/>
      <c r="M128" s="94" t="str">
        <f aca="false">IF(OR($Q128="",$R128="",$V128=1),"",($R128-$Q128)*24)</f>
        <v/>
      </c>
      <c r="N128" s="95"/>
      <c r="O128" s="96" t="str">
        <f aca="false">IF(OR($B128="",12&gt;$O$10),"",IF($AB128=1,"! CHECK LINK",IF($V128=1,"! CHECK DATES",IF($S128=1,IF($R128="","Completed",IF($R128&lt;$D128,"Completed - Ahead",IF($R128&lt;=$D128+1/1440,"Completed - On Time","Completed - Delayed"))),IF($Q128&lt;&gt;"",IF($Y128&lt;=0.1,"In Progress - On Track","In Progress - BEHIND"),IF($M$5&lt;$C128,"Not Started","NOT STARTED - LATE"))))))</f>
        <v>Not Started</v>
      </c>
      <c r="P128" s="97"/>
      <c r="Q128" s="0" t="str">
        <f aca="false">IF($I128="","",$I128+IF($J128="",0,$J128))</f>
        <v/>
      </c>
      <c r="R128" s="0" t="str">
        <f aca="false">IF($K128="","",$K128+IF($L128="",0,$L128))</f>
        <v/>
      </c>
      <c r="S128" s="4" t="n">
        <f aca="false">IF($V128=1,0,IF($R128&lt;&gt;"",1,IF($N128="",0,$N128)))</f>
        <v>0</v>
      </c>
      <c r="T128" s="4" t="n">
        <f aca="false">IF(OR($B128="",$E128=0),0,MEDIAN(0,($M$5-$C128)/($E128/24),1))</f>
        <v>0</v>
      </c>
      <c r="U128" s="4" t="n">
        <f aca="false">($S128-$T128)*$E128</f>
        <v>0</v>
      </c>
      <c r="V128" s="4" t="n">
        <f aca="false">IF(OR(AND($Q128&lt;&gt;"",$Q128&lt;$C$8),AND($Q128&lt;&gt;"",$R128&lt;&gt;"",$R128&lt;$Q128),AND($R128&lt;&gt;"",$Q128="")),1,0)</f>
        <v>0</v>
      </c>
      <c r="W128" s="98" t="n">
        <f aca="false">IF($B128="","",IF($S128=1,IF($R128&lt;&gt;"",$R128,$D128),IF($Q128&lt;&gt;"",MAX($M$5,$Q128)+$E128*(1-$S128)/24,MAX($M$5,$C128)+$E128/24)))</f>
        <v>46311.8333333333</v>
      </c>
      <c r="X128" s="4" t="n">
        <f aca="false">IF($B128="","",ROUND(($W128-$D128)*24,1))</f>
        <v>0</v>
      </c>
      <c r="Y128" s="4" t="n">
        <f aca="false">IF($B128="","",IF($Q128&lt;&gt;"",$X128,IF($X128&gt;0,MAX($X128,IF($Y127="",0,IF($Y127&gt;0,$Y127-MAX(0,($C128-$D127)*24),$Y127))),IF($Y127="",0,IF($Y127&gt;0,$Y127-MAX(0,($C128-$D127)*24),$Y127)))))</f>
        <v>18</v>
      </c>
      <c r="AB128" s="4" t="n">
        <f aca="false">IF(AND($B128&lt;&gt;"",$F128&gt;=12),1,0)</f>
        <v>0</v>
      </c>
    </row>
    <row r="129" customFormat="false" ht="19.5" hidden="false" customHeight="true" outlineLevel="0" collapsed="false">
      <c r="A129" s="85" t="n">
        <f aca="false">IF(OR($B129="",13&gt;$O$10),"",13)</f>
        <v>13</v>
      </c>
      <c r="B129" s="86" t="s">
        <v>111</v>
      </c>
      <c r="C129" s="87" t="n">
        <f aca="true">IF(OR($B129="",13&gt;$O$10),"",IF($F129=0,$C$8,IF($G129="SS",OFFSET($C$116,$F129,0)+$H129/24,IF($G129="FF",OFFSET($D$116,$F129,0)+$H129/24-$E129/24,IF($G129="SF",OFFSET($C$116,$F129,0)+$H129/24-$E129/24,OFFSET($D$116,$F129,0)+$H129/24)))))</f>
        <v>46311.8333333333</v>
      </c>
      <c r="D129" s="87" t="n">
        <f aca="false">IF(OR($B129="",13&gt;$O$10),"",$C129+$E129/24)</f>
        <v>46311.875</v>
      </c>
      <c r="E129" s="88" t="n">
        <v>1</v>
      </c>
      <c r="F129" s="89" t="n">
        <v>12</v>
      </c>
      <c r="G129" s="90" t="s">
        <v>49</v>
      </c>
      <c r="H129" s="91" t="n">
        <v>0</v>
      </c>
      <c r="I129" s="92"/>
      <c r="J129" s="93"/>
      <c r="K129" s="92"/>
      <c r="L129" s="93"/>
      <c r="M129" s="94" t="str">
        <f aca="false">IF(OR($Q129="",$R129="",$V129=1),"",($R129-$Q129)*24)</f>
        <v/>
      </c>
      <c r="N129" s="95"/>
      <c r="O129" s="96" t="str">
        <f aca="false">IF(OR($B129="",13&gt;$O$10),"",IF($AB129=1,"! CHECK LINK",IF($V129=1,"! CHECK DATES",IF($S129=1,IF($R129="","Completed",IF($R129&lt;$D129,"Completed - Ahead",IF($R129&lt;=$D129+1/1440,"Completed - On Time","Completed - Delayed"))),IF($Q129&lt;&gt;"",IF($Y129&lt;=0.1,"In Progress - On Track","In Progress - BEHIND"),IF($M$5&lt;$C129,"Not Started","NOT STARTED - LATE"))))))</f>
        <v>Not Started</v>
      </c>
      <c r="P129" s="97"/>
      <c r="Q129" s="0" t="str">
        <f aca="false">IF($I129="","",$I129+IF($J129="",0,$J129))</f>
        <v/>
      </c>
      <c r="R129" s="0" t="str">
        <f aca="false">IF($K129="","",$K129+IF($L129="",0,$L129))</f>
        <v/>
      </c>
      <c r="S129" s="4" t="n">
        <f aca="false">IF($V129=1,0,IF($R129&lt;&gt;"",1,IF($N129="",0,$N129)))</f>
        <v>0</v>
      </c>
      <c r="T129" s="4" t="n">
        <f aca="false">IF(OR($B129="",$E129=0),0,MEDIAN(0,($M$5-$C129)/($E129/24),1))</f>
        <v>0</v>
      </c>
      <c r="U129" s="4" t="n">
        <f aca="false">($S129-$T129)*$E129</f>
        <v>0</v>
      </c>
      <c r="V129" s="4" t="n">
        <f aca="false">IF(OR(AND($Q129&lt;&gt;"",$Q129&lt;$C$8),AND($Q129&lt;&gt;"",$R129&lt;&gt;"",$R129&lt;$Q129),AND($R129&lt;&gt;"",$Q129="")),1,0)</f>
        <v>0</v>
      </c>
      <c r="W129" s="98" t="n">
        <f aca="false">IF($B129="","",IF($S129=1,IF($R129&lt;&gt;"",$R129,$D129),IF($Q129&lt;&gt;"",MAX($M$5,$Q129)+$E129*(1-$S129)/24,MAX($M$5,$C129)+$E129/24)))</f>
        <v>46311.875</v>
      </c>
      <c r="X129" s="4" t="n">
        <f aca="false">IF($B129="","",ROUND(($W129-$D129)*24,1))</f>
        <v>0</v>
      </c>
      <c r="Y129" s="4" t="n">
        <f aca="false">IF($B129="","",IF($Q129&lt;&gt;"",$X129,IF($X129&gt;0,MAX($X129,IF($Y128="",0,IF($Y128&gt;0,$Y128-MAX(0,($C129-$D128)*24),$Y128))),IF($Y128="",0,IF($Y128&gt;0,$Y128-MAX(0,($C129-$D128)*24),$Y128)))))</f>
        <v>18</v>
      </c>
      <c r="AB129" s="4" t="n">
        <f aca="false">IF(AND($B129&lt;&gt;"",$F129&gt;=13),1,0)</f>
        <v>0</v>
      </c>
    </row>
    <row r="130" customFormat="false" ht="19.5" hidden="false" customHeight="true" outlineLevel="0" collapsed="false">
      <c r="A130" s="85" t="n">
        <f aca="false">IF(OR($B130="",14&gt;$O$10),"",14)</f>
        <v>14</v>
      </c>
      <c r="B130" s="86" t="s">
        <v>112</v>
      </c>
      <c r="C130" s="87" t="n">
        <f aca="true">IF(OR($B130="",14&gt;$O$10),"",IF($F130=0,$C$8,IF($G130="SS",OFFSET($C$116,$F130,0)+$H130/24,IF($G130="FF",OFFSET($D$116,$F130,0)+$H130/24-$E130/24,IF($G130="SF",OFFSET($C$116,$F130,0)+$H130/24-$E130/24,OFFSET($D$116,$F130,0)+$H130/24)))))</f>
        <v>46311.875</v>
      </c>
      <c r="D130" s="87" t="n">
        <f aca="false">IF(OR($B130="",14&gt;$O$10),"",$C130+$E130/24)</f>
        <v>46311.9166666667</v>
      </c>
      <c r="E130" s="88" t="n">
        <v>1</v>
      </c>
      <c r="F130" s="89" t="n">
        <v>13</v>
      </c>
      <c r="G130" s="90" t="s">
        <v>49</v>
      </c>
      <c r="H130" s="91" t="n">
        <v>0</v>
      </c>
      <c r="I130" s="92"/>
      <c r="J130" s="93"/>
      <c r="K130" s="92"/>
      <c r="L130" s="93"/>
      <c r="M130" s="94" t="str">
        <f aca="false">IF(OR($Q130="",$R130="",$V130=1),"",($R130-$Q130)*24)</f>
        <v/>
      </c>
      <c r="N130" s="95"/>
      <c r="O130" s="96" t="str">
        <f aca="false">IF(OR($B130="",14&gt;$O$10),"",IF($AB130=1,"! CHECK LINK",IF($V130=1,"! CHECK DATES",IF($S130=1,IF($R130="","Completed",IF($R130&lt;$D130,"Completed - Ahead",IF($R130&lt;=$D130+1/1440,"Completed - On Time","Completed - Delayed"))),IF($Q130&lt;&gt;"",IF($Y130&lt;=0.1,"In Progress - On Track","In Progress - BEHIND"),IF($M$5&lt;$C130,"Not Started","NOT STARTED - LATE"))))))</f>
        <v>Not Started</v>
      </c>
      <c r="P130" s="97"/>
      <c r="Q130" s="0" t="str">
        <f aca="false">IF($I130="","",$I130+IF($J130="",0,$J130))</f>
        <v/>
      </c>
      <c r="R130" s="0" t="str">
        <f aca="false">IF($K130="","",$K130+IF($L130="",0,$L130))</f>
        <v/>
      </c>
      <c r="S130" s="4" t="n">
        <f aca="false">IF($V130=1,0,IF($R130&lt;&gt;"",1,IF($N130="",0,$N130)))</f>
        <v>0</v>
      </c>
      <c r="T130" s="4" t="n">
        <f aca="false">IF(OR($B130="",$E130=0),0,MEDIAN(0,($M$5-$C130)/($E130/24),1))</f>
        <v>0</v>
      </c>
      <c r="U130" s="4" t="n">
        <f aca="false">($S130-$T130)*$E130</f>
        <v>0</v>
      </c>
      <c r="V130" s="4" t="n">
        <f aca="false">IF(OR(AND($Q130&lt;&gt;"",$Q130&lt;$C$8),AND($Q130&lt;&gt;"",$R130&lt;&gt;"",$R130&lt;$Q130),AND($R130&lt;&gt;"",$Q130="")),1,0)</f>
        <v>0</v>
      </c>
      <c r="W130" s="98" t="n">
        <f aca="false">IF($B130="","",IF($S130=1,IF($R130&lt;&gt;"",$R130,$D130),IF($Q130&lt;&gt;"",MAX($M$5,$Q130)+$E130*(1-$S130)/24,MAX($M$5,$C130)+$E130/24)))</f>
        <v>46311.9166666667</v>
      </c>
      <c r="X130" s="4" t="n">
        <f aca="false">IF($B130="","",ROUND(($W130-$D130)*24,1))</f>
        <v>0</v>
      </c>
      <c r="Y130" s="4" t="n">
        <f aca="false">IF($B130="","",IF($Q130&lt;&gt;"",$X130,IF($X130&gt;0,MAX($X130,IF($Y129="",0,IF($Y129&gt;0,$Y129-MAX(0,($C130-$D129)*24),$Y129))),IF($Y129="",0,IF($Y129&gt;0,$Y129-MAX(0,($C130-$D129)*24),$Y129)))))</f>
        <v>18</v>
      </c>
      <c r="AB130" s="4" t="n">
        <f aca="false">IF(AND($B130&lt;&gt;"",$F130&gt;=14),1,0)</f>
        <v>0</v>
      </c>
    </row>
    <row r="131" customFormat="false" ht="19.5" hidden="false" customHeight="true" outlineLevel="0" collapsed="false">
      <c r="A131" s="85" t="n">
        <f aca="false">IF(OR($B131="",15&gt;$O$10),"",15)</f>
        <v>15</v>
      </c>
      <c r="B131" s="86" t="s">
        <v>113</v>
      </c>
      <c r="C131" s="87" t="n">
        <f aca="true">IF(OR($B131="",15&gt;$O$10),"",IF($F131=0,$C$8,IF($G131="SS",OFFSET($C$116,$F131,0)+$H131/24,IF($G131="FF",OFFSET($D$116,$F131,0)+$H131/24-$E131/24,IF($G131="SF",OFFSET($C$116,$F131,0)+$H131/24-$E131/24,OFFSET($D$116,$F131,0)+$H131/24)))))</f>
        <v>46311.9166666667</v>
      </c>
      <c r="D131" s="87" t="n">
        <f aca="false">IF(OR($B131="",15&gt;$O$10),"",$C131+$E131/24)</f>
        <v>46311.9583333333</v>
      </c>
      <c r="E131" s="88" t="n">
        <v>1</v>
      </c>
      <c r="F131" s="89" t="n">
        <v>14</v>
      </c>
      <c r="G131" s="90" t="s">
        <v>49</v>
      </c>
      <c r="H131" s="91" t="n">
        <v>0</v>
      </c>
      <c r="I131" s="92"/>
      <c r="J131" s="93"/>
      <c r="K131" s="92"/>
      <c r="L131" s="93"/>
      <c r="M131" s="94" t="str">
        <f aca="false">IF(OR($Q131="",$R131="",$V131=1),"",($R131-$Q131)*24)</f>
        <v/>
      </c>
      <c r="N131" s="95"/>
      <c r="O131" s="96" t="str">
        <f aca="false">IF(OR($B131="",15&gt;$O$10),"",IF($AB131=1,"! CHECK LINK",IF($V131=1,"! CHECK DATES",IF($S131=1,IF($R131="","Completed",IF($R131&lt;$D131,"Completed - Ahead",IF($R131&lt;=$D131+1/1440,"Completed - On Time","Completed - Delayed"))),IF($Q131&lt;&gt;"",IF($Y131&lt;=0.1,"In Progress - On Track","In Progress - BEHIND"),IF($M$5&lt;$C131,"Not Started","NOT STARTED - LATE"))))))</f>
        <v>Not Started</v>
      </c>
      <c r="P131" s="97"/>
      <c r="Q131" s="0" t="str">
        <f aca="false">IF($I131="","",$I131+IF($J131="",0,$J131))</f>
        <v/>
      </c>
      <c r="R131" s="0" t="str">
        <f aca="false">IF($K131="","",$K131+IF($L131="",0,$L131))</f>
        <v/>
      </c>
      <c r="S131" s="4" t="n">
        <f aca="false">IF($V131=1,0,IF($R131&lt;&gt;"",1,IF($N131="",0,$N131)))</f>
        <v>0</v>
      </c>
      <c r="T131" s="4" t="n">
        <f aca="false">IF(OR($B131="",$E131=0),0,MEDIAN(0,($M$5-$C131)/($E131/24),1))</f>
        <v>0</v>
      </c>
      <c r="U131" s="4" t="n">
        <f aca="false">($S131-$T131)*$E131</f>
        <v>0</v>
      </c>
      <c r="V131" s="4" t="n">
        <f aca="false">IF(OR(AND($Q131&lt;&gt;"",$Q131&lt;$C$8),AND($Q131&lt;&gt;"",$R131&lt;&gt;"",$R131&lt;$Q131),AND($R131&lt;&gt;"",$Q131="")),1,0)</f>
        <v>0</v>
      </c>
      <c r="W131" s="98" t="n">
        <f aca="false">IF($B131="","",IF($S131=1,IF($R131&lt;&gt;"",$R131,$D131),IF($Q131&lt;&gt;"",MAX($M$5,$Q131)+$E131*(1-$S131)/24,MAX($M$5,$C131)+$E131/24)))</f>
        <v>46311.9583333333</v>
      </c>
      <c r="X131" s="4" t="n">
        <f aca="false">IF($B131="","",ROUND(($W131-$D131)*24,1))</f>
        <v>0</v>
      </c>
      <c r="Y131" s="4" t="n">
        <f aca="false">IF($B131="","",IF($Q131&lt;&gt;"",$X131,IF($X131&gt;0,MAX($X131,IF($Y130="",0,IF($Y130&gt;0,$Y130-MAX(0,($C131-$D130)*24),$Y130))),IF($Y130="",0,IF($Y130&gt;0,$Y130-MAX(0,($C131-$D130)*24),$Y130)))))</f>
        <v>18</v>
      </c>
      <c r="AB131" s="4" t="n">
        <f aca="false">IF(AND($B131&lt;&gt;"",$F131&gt;=15),1,0)</f>
        <v>0</v>
      </c>
    </row>
    <row r="132" customFormat="false" ht="19.5" hidden="false" customHeight="true" outlineLevel="0" collapsed="false">
      <c r="A132" s="85" t="n">
        <f aca="false">IF(OR($B132="",16&gt;$O$10),"",16)</f>
        <v>16</v>
      </c>
      <c r="B132" s="86" t="s">
        <v>114</v>
      </c>
      <c r="C132" s="87" t="n">
        <f aca="true">IF(OR($B132="",16&gt;$O$10),"",IF($F132=0,$C$8,IF($G132="SS",OFFSET($C$116,$F132,0)+$H132/24,IF($G132="FF",OFFSET($D$116,$F132,0)+$H132/24-$E132/24,IF($G132="SF",OFFSET($C$116,$F132,0)+$H132/24-$E132/24,OFFSET($D$116,$F132,0)+$H132/24)))))</f>
        <v>46311.9583333333</v>
      </c>
      <c r="D132" s="87" t="n">
        <f aca="false">IF(OR($B132="",16&gt;$O$10),"",$C132+$E132/24)</f>
        <v>46312</v>
      </c>
      <c r="E132" s="88" t="n">
        <v>1</v>
      </c>
      <c r="F132" s="89" t="n">
        <v>15</v>
      </c>
      <c r="G132" s="90" t="s">
        <v>49</v>
      </c>
      <c r="H132" s="91" t="n">
        <v>0</v>
      </c>
      <c r="I132" s="92"/>
      <c r="J132" s="93"/>
      <c r="K132" s="92"/>
      <c r="L132" s="93"/>
      <c r="M132" s="94" t="str">
        <f aca="false">IF(OR($Q132="",$R132="",$V132=1),"",($R132-$Q132)*24)</f>
        <v/>
      </c>
      <c r="N132" s="95"/>
      <c r="O132" s="96" t="str">
        <f aca="false">IF(OR($B132="",16&gt;$O$10),"",IF($AB132=1,"! CHECK LINK",IF($V132=1,"! CHECK DATES",IF($S132=1,IF($R132="","Completed",IF($R132&lt;$D132,"Completed - Ahead",IF($R132&lt;=$D132+1/1440,"Completed - On Time","Completed - Delayed"))),IF($Q132&lt;&gt;"",IF($Y132&lt;=0.1,"In Progress - On Track","In Progress - BEHIND"),IF($M$5&lt;$C132,"Not Started","NOT STARTED - LATE"))))))</f>
        <v>Not Started</v>
      </c>
      <c r="P132" s="97"/>
      <c r="Q132" s="0" t="str">
        <f aca="false">IF($I132="","",$I132+IF($J132="",0,$J132))</f>
        <v/>
      </c>
      <c r="R132" s="0" t="str">
        <f aca="false">IF($K132="","",$K132+IF($L132="",0,$L132))</f>
        <v/>
      </c>
      <c r="S132" s="4" t="n">
        <f aca="false">IF($V132=1,0,IF($R132&lt;&gt;"",1,IF($N132="",0,$N132)))</f>
        <v>0</v>
      </c>
      <c r="T132" s="4" t="n">
        <f aca="false">IF(OR($B132="",$E132=0),0,MEDIAN(0,($M$5-$C132)/($E132/24),1))</f>
        <v>0</v>
      </c>
      <c r="U132" s="4" t="n">
        <f aca="false">($S132-$T132)*$E132</f>
        <v>0</v>
      </c>
      <c r="V132" s="4" t="n">
        <f aca="false">IF(OR(AND($Q132&lt;&gt;"",$Q132&lt;$C$8),AND($Q132&lt;&gt;"",$R132&lt;&gt;"",$R132&lt;$Q132),AND($R132&lt;&gt;"",$Q132="")),1,0)</f>
        <v>0</v>
      </c>
      <c r="W132" s="98" t="n">
        <f aca="false">IF($B132="","",IF($S132=1,IF($R132&lt;&gt;"",$R132,$D132),IF($Q132&lt;&gt;"",MAX($M$5,$Q132)+$E132*(1-$S132)/24,MAX($M$5,$C132)+$E132/24)))</f>
        <v>46312</v>
      </c>
      <c r="X132" s="4" t="n">
        <f aca="false">IF($B132="","",ROUND(($W132-$D132)*24,1))</f>
        <v>0</v>
      </c>
      <c r="Y132" s="4" t="n">
        <f aca="false">IF($B132="","",IF($Q132&lt;&gt;"",$X132,IF($X132&gt;0,MAX($X132,IF($Y131="",0,IF($Y131&gt;0,$Y131-MAX(0,($C132-$D131)*24),$Y131))),IF($Y131="",0,IF($Y131&gt;0,$Y131-MAX(0,($C132-$D131)*24),$Y131)))))</f>
        <v>18</v>
      </c>
      <c r="AB132" s="4" t="n">
        <f aca="false">IF(AND($B132&lt;&gt;"",$F132&gt;=16),1,0)</f>
        <v>0</v>
      </c>
    </row>
    <row r="133" customFormat="false" ht="19.5" hidden="false" customHeight="true" outlineLevel="0" collapsed="false">
      <c r="A133" s="85" t="n">
        <f aca="false">IF(OR($B133="",17&gt;$O$10),"",17)</f>
        <v>17</v>
      </c>
      <c r="B133" s="86" t="s">
        <v>115</v>
      </c>
      <c r="C133" s="87" t="n">
        <f aca="true">IF(OR($B133="",17&gt;$O$10),"",IF($F133=0,$C$8,IF($G133="SS",OFFSET($C$116,$F133,0)+$H133/24,IF($G133="FF",OFFSET($D$116,$F133,0)+$H133/24-$E133/24,IF($G133="SF",OFFSET($C$116,$F133,0)+$H133/24-$E133/24,OFFSET($D$116,$F133,0)+$H133/24)))))</f>
        <v>46312</v>
      </c>
      <c r="D133" s="87" t="n">
        <f aca="false">IF(OR($B133="",17&gt;$O$10),"",$C133+$E133/24)</f>
        <v>46312.0416666667</v>
      </c>
      <c r="E133" s="88" t="n">
        <v>1</v>
      </c>
      <c r="F133" s="89" t="n">
        <v>16</v>
      </c>
      <c r="G133" s="90" t="s">
        <v>49</v>
      </c>
      <c r="H133" s="91" t="n">
        <v>0</v>
      </c>
      <c r="I133" s="92"/>
      <c r="J133" s="93"/>
      <c r="K133" s="92"/>
      <c r="L133" s="93"/>
      <c r="M133" s="94" t="str">
        <f aca="false">IF(OR($Q133="",$R133="",$V133=1),"",($R133-$Q133)*24)</f>
        <v/>
      </c>
      <c r="N133" s="95"/>
      <c r="O133" s="96" t="str">
        <f aca="false">IF(OR($B133="",17&gt;$O$10),"",IF($AB133=1,"! CHECK LINK",IF($V133=1,"! CHECK DATES",IF($S133=1,IF($R133="","Completed",IF($R133&lt;$D133,"Completed - Ahead",IF($R133&lt;=$D133+1/1440,"Completed - On Time","Completed - Delayed"))),IF($Q133&lt;&gt;"",IF($Y133&lt;=0.1,"In Progress - On Track","In Progress - BEHIND"),IF($M$5&lt;$C133,"Not Started","NOT STARTED - LATE"))))))</f>
        <v>Not Started</v>
      </c>
      <c r="P133" s="97"/>
      <c r="Q133" s="0" t="str">
        <f aca="false">IF($I133="","",$I133+IF($J133="",0,$J133))</f>
        <v/>
      </c>
      <c r="R133" s="0" t="str">
        <f aca="false">IF($K133="","",$K133+IF($L133="",0,$L133))</f>
        <v/>
      </c>
      <c r="S133" s="4" t="n">
        <f aca="false">IF($V133=1,0,IF($R133&lt;&gt;"",1,IF($N133="",0,$N133)))</f>
        <v>0</v>
      </c>
      <c r="T133" s="4" t="n">
        <f aca="false">IF(OR($B133="",$E133=0),0,MEDIAN(0,($M$5-$C133)/($E133/24),1))</f>
        <v>0</v>
      </c>
      <c r="U133" s="4" t="n">
        <f aca="false">($S133-$T133)*$E133</f>
        <v>0</v>
      </c>
      <c r="V133" s="4" t="n">
        <f aca="false">IF(OR(AND($Q133&lt;&gt;"",$Q133&lt;$C$8),AND($Q133&lt;&gt;"",$R133&lt;&gt;"",$R133&lt;$Q133),AND($R133&lt;&gt;"",$Q133="")),1,0)</f>
        <v>0</v>
      </c>
      <c r="W133" s="98" t="n">
        <f aca="false">IF($B133="","",IF($S133=1,IF($R133&lt;&gt;"",$R133,$D133),IF($Q133&lt;&gt;"",MAX($M$5,$Q133)+$E133*(1-$S133)/24,MAX($M$5,$C133)+$E133/24)))</f>
        <v>46312.0416666667</v>
      </c>
      <c r="X133" s="4" t="n">
        <f aca="false">IF($B133="","",ROUND(($W133-$D133)*24,1))</f>
        <v>0</v>
      </c>
      <c r="Y133" s="4" t="n">
        <f aca="false">IF($B133="","",IF($Q133&lt;&gt;"",$X133,IF($X133&gt;0,MAX($X133,IF($Y132="",0,IF($Y132&gt;0,$Y132-MAX(0,($C133-$D132)*24),$Y132))),IF($Y132="",0,IF($Y132&gt;0,$Y132-MAX(0,($C133-$D132)*24),$Y132)))))</f>
        <v>18</v>
      </c>
      <c r="AB133" s="4" t="n">
        <f aca="false">IF(AND($B133&lt;&gt;"",$F133&gt;=17),1,0)</f>
        <v>0</v>
      </c>
    </row>
    <row r="134" customFormat="false" ht="19.5" hidden="false" customHeight="true" outlineLevel="0" collapsed="false">
      <c r="A134" s="85" t="n">
        <f aca="false">IF(OR($B134="",18&gt;$O$10),"",18)</f>
        <v>18</v>
      </c>
      <c r="B134" s="86" t="s">
        <v>132</v>
      </c>
      <c r="C134" s="87" t="n">
        <f aca="true">IF(OR($B134="",18&gt;$O$10),"",IF($F134=0,$C$8,IF($G134="SS",OFFSET($C$116,$F134,0)+$H134/24,IF($G134="FF",OFFSET($D$116,$F134,0)+$H134/24-$E134/24,IF($G134="SF",OFFSET($C$116,$F134,0)+$H134/24-$E134/24,OFFSET($D$116,$F134,0)+$H134/24)))))</f>
        <v>46312.0416666667</v>
      </c>
      <c r="D134" s="87" t="n">
        <f aca="false">IF(OR($B134="",18&gt;$O$10),"",$C134+$E134/24)</f>
        <v>46312.125</v>
      </c>
      <c r="E134" s="88" t="n">
        <v>2</v>
      </c>
      <c r="F134" s="89" t="n">
        <v>17</v>
      </c>
      <c r="G134" s="90" t="s">
        <v>49</v>
      </c>
      <c r="H134" s="91" t="n">
        <v>0</v>
      </c>
      <c r="I134" s="92"/>
      <c r="J134" s="93"/>
      <c r="K134" s="92"/>
      <c r="L134" s="93"/>
      <c r="M134" s="94" t="str">
        <f aca="false">IF(OR($Q134="",$R134="",$V134=1),"",($R134-$Q134)*24)</f>
        <v/>
      </c>
      <c r="N134" s="95"/>
      <c r="O134" s="96" t="str">
        <f aca="false">IF(OR($B134="",18&gt;$O$10),"",IF($AB134=1,"! CHECK LINK",IF($V134=1,"! CHECK DATES",IF($S134=1,IF($R134="","Completed",IF($R134&lt;$D134,"Completed - Ahead",IF($R134&lt;=$D134+1/1440,"Completed - On Time","Completed - Delayed"))),IF($Q134&lt;&gt;"",IF($Y134&lt;=0.1,"In Progress - On Track","In Progress - BEHIND"),IF($M$5&lt;$C134,"Not Started","NOT STARTED - LATE"))))))</f>
        <v>Not Started</v>
      </c>
      <c r="P134" s="97"/>
      <c r="Q134" s="0" t="str">
        <f aca="false">IF($I134="","",$I134+IF($J134="",0,$J134))</f>
        <v/>
      </c>
      <c r="R134" s="0" t="str">
        <f aca="false">IF($K134="","",$K134+IF($L134="",0,$L134))</f>
        <v/>
      </c>
      <c r="S134" s="4" t="n">
        <f aca="false">IF($V134=1,0,IF($R134&lt;&gt;"",1,IF($N134="",0,$N134)))</f>
        <v>0</v>
      </c>
      <c r="T134" s="4" t="n">
        <f aca="false">IF(OR($B134="",$E134=0),0,MEDIAN(0,($M$5-$C134)/($E134/24),1))</f>
        <v>0</v>
      </c>
      <c r="U134" s="4" t="n">
        <f aca="false">($S134-$T134)*$E134</f>
        <v>0</v>
      </c>
      <c r="V134" s="4" t="n">
        <f aca="false">IF(OR(AND($Q134&lt;&gt;"",$Q134&lt;$C$8),AND($Q134&lt;&gt;"",$R134&lt;&gt;"",$R134&lt;$Q134),AND($R134&lt;&gt;"",$Q134="")),1,0)</f>
        <v>0</v>
      </c>
      <c r="W134" s="98" t="n">
        <f aca="false">IF($B134="","",IF($S134=1,IF($R134&lt;&gt;"",$R134,$D134),IF($Q134&lt;&gt;"",MAX($M$5,$Q134)+$E134*(1-$S134)/24,MAX($M$5,$C134)+$E134/24)))</f>
        <v>46312.125</v>
      </c>
      <c r="X134" s="4" t="n">
        <f aca="false">IF($B134="","",ROUND(($W134-$D134)*24,1))</f>
        <v>0</v>
      </c>
      <c r="Y134" s="4" t="n">
        <f aca="false">IF($B134="","",IF($Q134&lt;&gt;"",$X134,IF($X134&gt;0,MAX($X134,IF($Y133="",0,IF($Y133&gt;0,$Y133-MAX(0,($C134-$D133)*24),$Y133))),IF($Y133="",0,IF($Y133&gt;0,$Y133-MAX(0,($C134-$D133)*24),$Y133)))))</f>
        <v>18</v>
      </c>
      <c r="AB134" s="4" t="n">
        <f aca="false">IF(AND($B134&lt;&gt;"",$F134&gt;=18),1,0)</f>
        <v>0</v>
      </c>
    </row>
    <row r="135" customFormat="false" ht="19.5" hidden="false" customHeight="true" outlineLevel="0" collapsed="false">
      <c r="A135" s="85" t="n">
        <f aca="false">IF(OR($B135="",19&gt;$O$10),"",19)</f>
        <v>19</v>
      </c>
      <c r="B135" s="86" t="s">
        <v>117</v>
      </c>
      <c r="C135" s="87" t="n">
        <f aca="true">IF(OR($B135="",19&gt;$O$10),"",IF($F135=0,$C$8,IF($G135="SS",OFFSET($C$116,$F135,0)+$H135/24,IF($G135="FF",OFFSET($D$116,$F135,0)+$H135/24-$E135/24,IF($G135="SF",OFFSET($C$116,$F135,0)+$H135/24-$E135/24,OFFSET($D$116,$F135,0)+$H135/24)))))</f>
        <v>46312.125</v>
      </c>
      <c r="D135" s="87" t="n">
        <f aca="false">IF(OR($B135="",19&gt;$O$10),"",$C135+$E135/24)</f>
        <v>46312.2083333333</v>
      </c>
      <c r="E135" s="88" t="n">
        <v>2</v>
      </c>
      <c r="F135" s="89" t="n">
        <v>18</v>
      </c>
      <c r="G135" s="90" t="s">
        <v>49</v>
      </c>
      <c r="H135" s="91" t="n">
        <v>0</v>
      </c>
      <c r="I135" s="92"/>
      <c r="J135" s="93"/>
      <c r="K135" s="92"/>
      <c r="L135" s="93"/>
      <c r="M135" s="94" t="str">
        <f aca="false">IF(OR($Q135="",$R135="",$V135=1),"",($R135-$Q135)*24)</f>
        <v/>
      </c>
      <c r="N135" s="95"/>
      <c r="O135" s="96" t="str">
        <f aca="false">IF(OR($B135="",19&gt;$O$10),"",IF($AB135=1,"! CHECK LINK",IF($V135=1,"! CHECK DATES",IF($S135=1,IF($R135="","Completed",IF($R135&lt;$D135,"Completed - Ahead",IF($R135&lt;=$D135+1/1440,"Completed - On Time","Completed - Delayed"))),IF($Q135&lt;&gt;"",IF($Y135&lt;=0.1,"In Progress - On Track","In Progress - BEHIND"),IF($M$5&lt;$C135,"Not Started","NOT STARTED - LATE"))))))</f>
        <v>Not Started</v>
      </c>
      <c r="P135" s="97"/>
      <c r="Q135" s="0" t="str">
        <f aca="false">IF($I135="","",$I135+IF($J135="",0,$J135))</f>
        <v/>
      </c>
      <c r="R135" s="0" t="str">
        <f aca="false">IF($K135="","",$K135+IF($L135="",0,$L135))</f>
        <v/>
      </c>
      <c r="S135" s="4" t="n">
        <f aca="false">IF($V135=1,0,IF($R135&lt;&gt;"",1,IF($N135="",0,$N135)))</f>
        <v>0</v>
      </c>
      <c r="T135" s="4" t="n">
        <f aca="false">IF(OR($B135="",$E135=0),0,MEDIAN(0,($M$5-$C135)/($E135/24),1))</f>
        <v>0</v>
      </c>
      <c r="U135" s="4" t="n">
        <f aca="false">($S135-$T135)*$E135</f>
        <v>0</v>
      </c>
      <c r="V135" s="4" t="n">
        <f aca="false">IF(OR(AND($Q135&lt;&gt;"",$Q135&lt;$C$8),AND($Q135&lt;&gt;"",$R135&lt;&gt;"",$R135&lt;$Q135),AND($R135&lt;&gt;"",$Q135="")),1,0)</f>
        <v>0</v>
      </c>
      <c r="W135" s="98" t="n">
        <f aca="false">IF($B135="","",IF($S135=1,IF($R135&lt;&gt;"",$R135,$D135),IF($Q135&lt;&gt;"",MAX($M$5,$Q135)+$E135*(1-$S135)/24,MAX($M$5,$C135)+$E135/24)))</f>
        <v>46312.2083333333</v>
      </c>
      <c r="X135" s="4" t="n">
        <f aca="false">IF($B135="","",ROUND(($W135-$D135)*24,1))</f>
        <v>0</v>
      </c>
      <c r="Y135" s="4" t="n">
        <f aca="false">IF($B135="","",IF($Q135&lt;&gt;"",$X135,IF($X135&gt;0,MAX($X135,IF($Y134="",0,IF($Y134&gt;0,$Y134-MAX(0,($C135-$D134)*24),$Y134))),IF($Y134="",0,IF($Y134&gt;0,$Y134-MAX(0,($C135-$D134)*24),$Y134)))))</f>
        <v>18</v>
      </c>
      <c r="AB135" s="4" t="n">
        <f aca="false">IF(AND($B135&lt;&gt;"",$F135&gt;=19),1,0)</f>
        <v>0</v>
      </c>
    </row>
    <row r="136" customFormat="false" ht="19.5" hidden="false" customHeight="true" outlineLevel="0" collapsed="false">
      <c r="A136" s="85" t="n">
        <f aca="false">IF(OR($B136="",20&gt;$O$10),"",20)</f>
        <v>20</v>
      </c>
      <c r="B136" s="86" t="s">
        <v>118</v>
      </c>
      <c r="C136" s="87" t="n">
        <f aca="true">IF(OR($B136="",20&gt;$O$10),"",IF($F136=0,$C$8,IF($G136="SS",OFFSET($C$116,$F136,0)+$H136/24,IF($G136="FF",OFFSET($D$116,$F136,0)+$H136/24-$E136/24,IF($G136="SF",OFFSET($C$116,$F136,0)+$H136/24-$E136/24,OFFSET($D$116,$F136,0)+$H136/24)))))</f>
        <v>46312.2083333333</v>
      </c>
      <c r="D136" s="87" t="n">
        <f aca="false">IF(OR($B136="",20&gt;$O$10),"",$C136+$E136/24)</f>
        <v>46312.2916666667</v>
      </c>
      <c r="E136" s="88" t="n">
        <v>2</v>
      </c>
      <c r="F136" s="89" t="n">
        <v>19</v>
      </c>
      <c r="G136" s="90" t="s">
        <v>49</v>
      </c>
      <c r="H136" s="91" t="n">
        <v>0</v>
      </c>
      <c r="I136" s="92"/>
      <c r="J136" s="93"/>
      <c r="K136" s="92"/>
      <c r="L136" s="93"/>
      <c r="M136" s="94" t="str">
        <f aca="false">IF(OR($Q136="",$R136="",$V136=1),"",($R136-$Q136)*24)</f>
        <v/>
      </c>
      <c r="N136" s="95"/>
      <c r="O136" s="96" t="str">
        <f aca="false">IF(OR($B136="",20&gt;$O$10),"",IF($AB136=1,"! CHECK LINK",IF($V136=1,"! CHECK DATES",IF($S136=1,IF($R136="","Completed",IF($R136&lt;$D136,"Completed - Ahead",IF($R136&lt;=$D136+1/1440,"Completed - On Time","Completed - Delayed"))),IF($Q136&lt;&gt;"",IF($Y136&lt;=0.1,"In Progress - On Track","In Progress - BEHIND"),IF($M$5&lt;$C136,"Not Started","NOT STARTED - LATE"))))))</f>
        <v>Not Started</v>
      </c>
      <c r="P136" s="97"/>
      <c r="Q136" s="0" t="str">
        <f aca="false">IF($I136="","",$I136+IF($J136="",0,$J136))</f>
        <v/>
      </c>
      <c r="R136" s="0" t="str">
        <f aca="false">IF($K136="","",$K136+IF($L136="",0,$L136))</f>
        <v/>
      </c>
      <c r="S136" s="4" t="n">
        <f aca="false">IF($V136=1,0,IF($R136&lt;&gt;"",1,IF($N136="",0,$N136)))</f>
        <v>0</v>
      </c>
      <c r="T136" s="4" t="n">
        <f aca="false">IF(OR($B136="",$E136=0),0,MEDIAN(0,($M$5-$C136)/($E136/24),1))</f>
        <v>0</v>
      </c>
      <c r="U136" s="4" t="n">
        <f aca="false">($S136-$T136)*$E136</f>
        <v>0</v>
      </c>
      <c r="V136" s="4" t="n">
        <f aca="false">IF(OR(AND($Q136&lt;&gt;"",$Q136&lt;$C$8),AND($Q136&lt;&gt;"",$R136&lt;&gt;"",$R136&lt;$Q136),AND($R136&lt;&gt;"",$Q136="")),1,0)</f>
        <v>0</v>
      </c>
      <c r="W136" s="98" t="n">
        <f aca="false">IF($B136="","",IF($S136=1,IF($R136&lt;&gt;"",$R136,$D136),IF($Q136&lt;&gt;"",MAX($M$5,$Q136)+$E136*(1-$S136)/24,MAX($M$5,$C136)+$E136/24)))</f>
        <v>46312.2916666667</v>
      </c>
      <c r="X136" s="4" t="n">
        <f aca="false">IF($B136="","",ROUND(($W136-$D136)*24,1))</f>
        <v>0</v>
      </c>
      <c r="Y136" s="4" t="n">
        <f aca="false">IF($B136="","",IF($Q136&lt;&gt;"",$X136,IF($X136&gt;0,MAX($X136,IF($Y135="",0,IF($Y135&gt;0,$Y135-MAX(0,($C136-$D135)*24),$Y135))),IF($Y135="",0,IF($Y135&gt;0,$Y135-MAX(0,($C136-$D135)*24),$Y135)))))</f>
        <v>18</v>
      </c>
      <c r="AB136" s="4" t="n">
        <f aca="false">IF(AND($B136&lt;&gt;"",$F136&gt;=20),1,0)</f>
        <v>0</v>
      </c>
    </row>
    <row r="137" customFormat="false" ht="19.5" hidden="false" customHeight="true" outlineLevel="0" collapsed="false">
      <c r="A137" s="85" t="n">
        <f aca="false">IF(OR($B137="",21&gt;$O$10),"",21)</f>
        <v>21</v>
      </c>
      <c r="B137" s="86" t="s">
        <v>119</v>
      </c>
      <c r="C137" s="87" t="n">
        <f aca="true">IF(OR($B137="",21&gt;$O$10),"",IF($F137=0,$C$8,IF($G137="SS",OFFSET($C$116,$F137,0)+$H137/24,IF($G137="FF",OFFSET($D$116,$F137,0)+$H137/24-$E137/24,IF($G137="SF",OFFSET($C$116,$F137,0)+$H137/24-$E137/24,OFFSET($D$116,$F137,0)+$H137/24)))))</f>
        <v>46312.2916666667</v>
      </c>
      <c r="D137" s="87" t="n">
        <f aca="false">IF(OR($B137="",21&gt;$O$10),"",$C137+$E137/24)</f>
        <v>46312.3333333333</v>
      </c>
      <c r="E137" s="88" t="n">
        <v>1</v>
      </c>
      <c r="F137" s="89" t="n">
        <v>20</v>
      </c>
      <c r="G137" s="90" t="s">
        <v>49</v>
      </c>
      <c r="H137" s="91" t="n">
        <v>0</v>
      </c>
      <c r="I137" s="92"/>
      <c r="J137" s="93"/>
      <c r="K137" s="92"/>
      <c r="L137" s="93"/>
      <c r="M137" s="94" t="str">
        <f aca="false">IF(OR($Q137="",$R137="",$V137=1),"",($R137-$Q137)*24)</f>
        <v/>
      </c>
      <c r="N137" s="95"/>
      <c r="O137" s="96" t="str">
        <f aca="false">IF(OR($B137="",21&gt;$O$10),"",IF($AB137=1,"! CHECK LINK",IF($V137=1,"! CHECK DATES",IF($S137=1,IF($R137="","Completed",IF($R137&lt;$D137,"Completed - Ahead",IF($R137&lt;=$D137+1/1440,"Completed - On Time","Completed - Delayed"))),IF($Q137&lt;&gt;"",IF($Y137&lt;=0.1,"In Progress - On Track","In Progress - BEHIND"),IF($M$5&lt;$C137,"Not Started","NOT STARTED - LATE"))))))</f>
        <v>Not Started</v>
      </c>
      <c r="P137" s="97"/>
      <c r="Q137" s="0" t="str">
        <f aca="false">IF($I137="","",$I137+IF($J137="",0,$J137))</f>
        <v/>
      </c>
      <c r="R137" s="0" t="str">
        <f aca="false">IF($K137="","",$K137+IF($L137="",0,$L137))</f>
        <v/>
      </c>
      <c r="S137" s="4" t="n">
        <f aca="false">IF($V137=1,0,IF($R137&lt;&gt;"",1,IF($N137="",0,$N137)))</f>
        <v>0</v>
      </c>
      <c r="T137" s="4" t="n">
        <f aca="false">IF(OR($B137="",$E137=0),0,MEDIAN(0,($M$5-$C137)/($E137/24),1))</f>
        <v>0</v>
      </c>
      <c r="U137" s="4" t="n">
        <f aca="false">($S137-$T137)*$E137</f>
        <v>0</v>
      </c>
      <c r="V137" s="4" t="n">
        <f aca="false">IF(OR(AND($Q137&lt;&gt;"",$Q137&lt;$C$8),AND($Q137&lt;&gt;"",$R137&lt;&gt;"",$R137&lt;$Q137),AND($R137&lt;&gt;"",$Q137="")),1,0)</f>
        <v>0</v>
      </c>
      <c r="W137" s="98" t="n">
        <f aca="false">IF($B137="","",IF($S137=1,IF($R137&lt;&gt;"",$R137,$D137),IF($Q137&lt;&gt;"",MAX($M$5,$Q137)+$E137*(1-$S137)/24,MAX($M$5,$C137)+$E137/24)))</f>
        <v>46312.3333333333</v>
      </c>
      <c r="X137" s="4" t="n">
        <f aca="false">IF($B137="","",ROUND(($W137-$D137)*24,1))</f>
        <v>0</v>
      </c>
      <c r="Y137" s="4" t="n">
        <f aca="false">IF($B137="","",IF($Q137&lt;&gt;"",$X137,IF($X137&gt;0,MAX($X137,IF($Y136="",0,IF($Y136&gt;0,$Y136-MAX(0,($C137-$D136)*24),$Y136))),IF($Y136="",0,IF($Y136&gt;0,$Y136-MAX(0,($C137-$D136)*24),$Y136)))))</f>
        <v>18</v>
      </c>
      <c r="AB137" s="4" t="n">
        <f aca="false">IF(AND($B137&lt;&gt;"",$F137&gt;=21),1,0)</f>
        <v>0</v>
      </c>
    </row>
    <row r="138" customFormat="false" ht="19.5" hidden="false" customHeight="true" outlineLevel="0" collapsed="false">
      <c r="A138" s="85" t="n">
        <f aca="false">IF(OR($B138="",22&gt;$O$10),"",22)</f>
        <v>22</v>
      </c>
      <c r="B138" s="86" t="s">
        <v>120</v>
      </c>
      <c r="C138" s="87" t="n">
        <f aca="true">IF(OR($B138="",22&gt;$O$10),"",IF($F138=0,$C$8,IF($G138="SS",OFFSET($C$116,$F138,0)+$H138/24,IF($G138="FF",OFFSET($D$116,$F138,0)+$H138/24-$E138/24,IF($G138="SF",OFFSET($C$116,$F138,0)+$H138/24-$E138/24,OFFSET($D$116,$F138,0)+$H138/24)))))</f>
        <v>46312.3333333333</v>
      </c>
      <c r="D138" s="87" t="n">
        <f aca="false">IF(OR($B138="",22&gt;$O$10),"",$C138+$E138/24)</f>
        <v>46312.375</v>
      </c>
      <c r="E138" s="88" t="n">
        <v>1</v>
      </c>
      <c r="F138" s="89" t="n">
        <v>21</v>
      </c>
      <c r="G138" s="90" t="s">
        <v>49</v>
      </c>
      <c r="H138" s="91" t="n">
        <v>0</v>
      </c>
      <c r="I138" s="92"/>
      <c r="J138" s="93"/>
      <c r="K138" s="92"/>
      <c r="L138" s="93"/>
      <c r="M138" s="94" t="str">
        <f aca="false">IF(OR($Q138="",$R138="",$V138=1),"",($R138-$Q138)*24)</f>
        <v/>
      </c>
      <c r="N138" s="95"/>
      <c r="O138" s="96" t="str">
        <f aca="false">IF(OR($B138="",22&gt;$O$10),"",IF($AB138=1,"! CHECK LINK",IF($V138=1,"! CHECK DATES",IF($S138=1,IF($R138="","Completed",IF($R138&lt;$D138,"Completed - Ahead",IF($R138&lt;=$D138+1/1440,"Completed - On Time","Completed - Delayed"))),IF($Q138&lt;&gt;"",IF($Y138&lt;=0.1,"In Progress - On Track","In Progress - BEHIND"),IF($M$5&lt;$C138,"Not Started","NOT STARTED - LATE"))))))</f>
        <v>Not Started</v>
      </c>
      <c r="P138" s="97"/>
      <c r="Q138" s="0" t="str">
        <f aca="false">IF($I138="","",$I138+IF($J138="",0,$J138))</f>
        <v/>
      </c>
      <c r="R138" s="0" t="str">
        <f aca="false">IF($K138="","",$K138+IF($L138="",0,$L138))</f>
        <v/>
      </c>
      <c r="S138" s="4" t="n">
        <f aca="false">IF($V138=1,0,IF($R138&lt;&gt;"",1,IF($N138="",0,$N138)))</f>
        <v>0</v>
      </c>
      <c r="T138" s="4" t="n">
        <f aca="false">IF(OR($B138="",$E138=0),0,MEDIAN(0,($M$5-$C138)/($E138/24),1))</f>
        <v>0</v>
      </c>
      <c r="U138" s="4" t="n">
        <f aca="false">($S138-$T138)*$E138</f>
        <v>0</v>
      </c>
      <c r="V138" s="4" t="n">
        <f aca="false">IF(OR(AND($Q138&lt;&gt;"",$Q138&lt;$C$8),AND($Q138&lt;&gt;"",$R138&lt;&gt;"",$R138&lt;$Q138),AND($R138&lt;&gt;"",$Q138="")),1,0)</f>
        <v>0</v>
      </c>
      <c r="W138" s="98" t="n">
        <f aca="false">IF($B138="","",IF($S138=1,IF($R138&lt;&gt;"",$R138,$D138),IF($Q138&lt;&gt;"",MAX($M$5,$Q138)+$E138*(1-$S138)/24,MAX($M$5,$C138)+$E138/24)))</f>
        <v>46312.375</v>
      </c>
      <c r="X138" s="4" t="n">
        <f aca="false">IF($B138="","",ROUND(($W138-$D138)*24,1))</f>
        <v>0</v>
      </c>
      <c r="Y138" s="4" t="n">
        <f aca="false">IF($B138="","",IF($Q138&lt;&gt;"",$X138,IF($X138&gt;0,MAX($X138,IF($Y137="",0,IF($Y137&gt;0,$Y137-MAX(0,($C138-$D137)*24),$Y137))),IF($Y137="",0,IF($Y137&gt;0,$Y137-MAX(0,($C138-$D137)*24),$Y137)))))</f>
        <v>18</v>
      </c>
      <c r="AB138" s="4" t="n">
        <f aca="false">IF(AND($B138&lt;&gt;"",$F138&gt;=22),1,0)</f>
        <v>0</v>
      </c>
    </row>
    <row r="139" customFormat="false" ht="19.5" hidden="false" customHeight="true" outlineLevel="0" collapsed="false">
      <c r="A139" s="85" t="n">
        <f aca="false">IF(OR($B139="",23&gt;$O$10),"",23)</f>
        <v>23</v>
      </c>
      <c r="B139" s="86" t="s">
        <v>133</v>
      </c>
      <c r="C139" s="87" t="n">
        <f aca="true">IF(OR($B139="",23&gt;$O$10),"",IF($F139=0,$C$8,IF($G139="SS",OFFSET($C$116,$F139,0)+$H139/24,IF($G139="FF",OFFSET($D$116,$F139,0)+$H139/24-$E139/24,IF($G139="SF",OFFSET($C$116,$F139,0)+$H139/24-$E139/24,OFFSET($D$116,$F139,0)+$H139/24)))))</f>
        <v>46312.375</v>
      </c>
      <c r="D139" s="87" t="n">
        <f aca="false">IF(OR($B139="",23&gt;$O$10),"",$C139+$E139/24)</f>
        <v>46312.4583333333</v>
      </c>
      <c r="E139" s="88" t="n">
        <v>2</v>
      </c>
      <c r="F139" s="89" t="n">
        <v>22</v>
      </c>
      <c r="G139" s="90" t="s">
        <v>49</v>
      </c>
      <c r="H139" s="91" t="n">
        <v>0</v>
      </c>
      <c r="I139" s="92"/>
      <c r="J139" s="93"/>
      <c r="K139" s="92"/>
      <c r="L139" s="93"/>
      <c r="M139" s="94" t="str">
        <f aca="false">IF(OR($Q139="",$R139="",$V139=1),"",($R139-$Q139)*24)</f>
        <v/>
      </c>
      <c r="N139" s="95"/>
      <c r="O139" s="96" t="str">
        <f aca="false">IF(OR($B139="",23&gt;$O$10),"",IF($AB139=1,"! CHECK LINK",IF($V139=1,"! CHECK DATES",IF($S139=1,IF($R139="","Completed",IF($R139&lt;$D139,"Completed - Ahead",IF($R139&lt;=$D139+1/1440,"Completed - On Time","Completed - Delayed"))),IF($Q139&lt;&gt;"",IF($Y139&lt;=0.1,"In Progress - On Track","In Progress - BEHIND"),IF($M$5&lt;$C139,"Not Started","NOT STARTED - LATE"))))))</f>
        <v>Not Started</v>
      </c>
      <c r="P139" s="97"/>
      <c r="Q139" s="0" t="str">
        <f aca="false">IF($I139="","",$I139+IF($J139="",0,$J139))</f>
        <v/>
      </c>
      <c r="R139" s="0" t="str">
        <f aca="false">IF($K139="","",$K139+IF($L139="",0,$L139))</f>
        <v/>
      </c>
      <c r="S139" s="4" t="n">
        <f aca="false">IF($V139=1,0,IF($R139&lt;&gt;"",1,IF($N139="",0,$N139)))</f>
        <v>0</v>
      </c>
      <c r="T139" s="4" t="n">
        <f aca="false">IF(OR($B139="",$E139=0),0,MEDIAN(0,($M$5-$C139)/($E139/24),1))</f>
        <v>0</v>
      </c>
      <c r="U139" s="4" t="n">
        <f aca="false">($S139-$T139)*$E139</f>
        <v>0</v>
      </c>
      <c r="V139" s="4" t="n">
        <f aca="false">IF(OR(AND($Q139&lt;&gt;"",$Q139&lt;$C$8),AND($Q139&lt;&gt;"",$R139&lt;&gt;"",$R139&lt;$Q139),AND($R139&lt;&gt;"",$Q139="")),1,0)</f>
        <v>0</v>
      </c>
      <c r="W139" s="98" t="n">
        <f aca="false">IF($B139="","",IF($S139=1,IF($R139&lt;&gt;"",$R139,$D139),IF($Q139&lt;&gt;"",MAX($M$5,$Q139)+$E139*(1-$S139)/24,MAX($M$5,$C139)+$E139/24)))</f>
        <v>46312.4583333333</v>
      </c>
      <c r="X139" s="4" t="n">
        <f aca="false">IF($B139="","",ROUND(($W139-$D139)*24,1))</f>
        <v>0</v>
      </c>
      <c r="Y139" s="4" t="n">
        <f aca="false">IF($B139="","",IF($Q139&lt;&gt;"",$X139,IF($X139&gt;0,MAX($X139,IF($Y138="",0,IF($Y138&gt;0,$Y138-MAX(0,($C139-$D138)*24),$Y138))),IF($Y138="",0,IF($Y138&gt;0,$Y138-MAX(0,($C139-$D138)*24),$Y138)))))</f>
        <v>18</v>
      </c>
      <c r="AB139" s="4" t="n">
        <f aca="false">IF(AND($B139&lt;&gt;"",$F139&gt;=23),1,0)</f>
        <v>0</v>
      </c>
    </row>
    <row r="140" customFormat="false" ht="19.5" hidden="false" customHeight="true" outlineLevel="0" collapsed="false">
      <c r="A140" s="85" t="n">
        <f aca="false">IF(OR($B140="",24&gt;$O$10),"",24)</f>
        <v>24</v>
      </c>
      <c r="B140" s="86" t="s">
        <v>122</v>
      </c>
      <c r="C140" s="87" t="n">
        <f aca="true">IF(OR($B140="",24&gt;$O$10),"",IF($F140=0,$C$8,IF($G140="SS",OFFSET($C$116,$F140,0)+$H140/24,IF($G140="FF",OFFSET($D$116,$F140,0)+$H140/24-$E140/24,IF($G140="SF",OFFSET($C$116,$F140,0)+$H140/24-$E140/24,OFFSET($D$116,$F140,0)+$H140/24)))))</f>
        <v>46312.4583333333</v>
      </c>
      <c r="D140" s="87" t="n">
        <f aca="false">IF(OR($B140="",24&gt;$O$10),"",$C140+$E140/24)</f>
        <v>46312.625</v>
      </c>
      <c r="E140" s="88" t="n">
        <v>4</v>
      </c>
      <c r="F140" s="89" t="n">
        <v>23</v>
      </c>
      <c r="G140" s="90" t="s">
        <v>49</v>
      </c>
      <c r="H140" s="91" t="n">
        <v>0</v>
      </c>
      <c r="I140" s="92"/>
      <c r="J140" s="93"/>
      <c r="K140" s="92"/>
      <c r="L140" s="93"/>
      <c r="M140" s="94" t="str">
        <f aca="false">IF(OR($Q140="",$R140="",$V140=1),"",($R140-$Q140)*24)</f>
        <v/>
      </c>
      <c r="N140" s="95"/>
      <c r="O140" s="96" t="str">
        <f aca="false">IF(OR($B140="",24&gt;$O$10),"",IF($AB140=1,"! CHECK LINK",IF($V140=1,"! CHECK DATES",IF($S140=1,IF($R140="","Completed",IF($R140&lt;$D140,"Completed - Ahead",IF($R140&lt;=$D140+1/1440,"Completed - On Time","Completed - Delayed"))),IF($Q140&lt;&gt;"",IF($Y140&lt;=0.1,"In Progress - On Track","In Progress - BEHIND"),IF($M$5&lt;$C140,"Not Started","NOT STARTED - LATE"))))))</f>
        <v>Not Started</v>
      </c>
      <c r="P140" s="97"/>
      <c r="Q140" s="0" t="str">
        <f aca="false">IF($I140="","",$I140+IF($J140="",0,$J140))</f>
        <v/>
      </c>
      <c r="R140" s="0" t="str">
        <f aca="false">IF($K140="","",$K140+IF($L140="",0,$L140))</f>
        <v/>
      </c>
      <c r="S140" s="4" t="n">
        <f aca="false">IF($V140=1,0,IF($R140&lt;&gt;"",1,IF($N140="",0,$N140)))</f>
        <v>0</v>
      </c>
      <c r="T140" s="4" t="n">
        <f aca="false">IF(OR($B140="",$E140=0),0,MEDIAN(0,($M$5-$C140)/($E140/24),1))</f>
        <v>0</v>
      </c>
      <c r="U140" s="4" t="n">
        <f aca="false">($S140-$T140)*$E140</f>
        <v>0</v>
      </c>
      <c r="V140" s="4" t="n">
        <f aca="false">IF(OR(AND($Q140&lt;&gt;"",$Q140&lt;$C$8),AND($Q140&lt;&gt;"",$R140&lt;&gt;"",$R140&lt;$Q140),AND($R140&lt;&gt;"",$Q140="")),1,0)</f>
        <v>0</v>
      </c>
      <c r="W140" s="98" t="n">
        <f aca="false">IF($B140="","",IF($S140=1,IF($R140&lt;&gt;"",$R140,$D140),IF($Q140&lt;&gt;"",MAX($M$5,$Q140)+$E140*(1-$S140)/24,MAX($M$5,$C140)+$E140/24)))</f>
        <v>46312.625</v>
      </c>
      <c r="X140" s="4" t="n">
        <f aca="false">IF($B140="","",ROUND(($W140-$D140)*24,1))</f>
        <v>0</v>
      </c>
      <c r="Y140" s="4" t="n">
        <f aca="false">IF($B140="","",IF($Q140&lt;&gt;"",$X140,IF($X140&gt;0,MAX($X140,IF($Y139="",0,IF($Y139&gt;0,$Y139-MAX(0,($C140-$D139)*24),$Y139))),IF($Y139="",0,IF($Y139&gt;0,$Y139-MAX(0,($C140-$D139)*24),$Y139)))))</f>
        <v>18</v>
      </c>
      <c r="AB140" s="4" t="n">
        <f aca="false">IF(AND($B140&lt;&gt;"",$F140&gt;=24),1,0)</f>
        <v>0</v>
      </c>
    </row>
    <row r="141" customFormat="false" ht="19.5" hidden="false" customHeight="true" outlineLevel="0" collapsed="false">
      <c r="A141" s="85" t="n">
        <f aca="false">IF(OR($B141="",25&gt;$O$10),"",25)</f>
        <v>25</v>
      </c>
      <c r="B141" s="86" t="s">
        <v>123</v>
      </c>
      <c r="C141" s="87" t="n">
        <f aca="true">IF(OR($B141="",25&gt;$O$10),"",IF($F141=0,$C$8,IF($G141="SS",OFFSET($C$116,$F141,0)+$H141/24,IF($G141="FF",OFFSET($D$116,$F141,0)+$H141/24-$E141/24,IF($G141="SF",OFFSET($C$116,$F141,0)+$H141/24-$E141/24,OFFSET($D$116,$F141,0)+$H141/24)))))</f>
        <v>46312.625</v>
      </c>
      <c r="D141" s="87" t="n">
        <f aca="false">IF(OR($B141="",25&gt;$O$10),"",$C141+$E141/24)</f>
        <v>46312.7916666667</v>
      </c>
      <c r="E141" s="88" t="n">
        <v>4</v>
      </c>
      <c r="F141" s="89" t="n">
        <v>24</v>
      </c>
      <c r="G141" s="90" t="s">
        <v>49</v>
      </c>
      <c r="H141" s="91" t="n">
        <v>0</v>
      </c>
      <c r="I141" s="92"/>
      <c r="J141" s="93"/>
      <c r="K141" s="92"/>
      <c r="L141" s="93"/>
      <c r="M141" s="94" t="str">
        <f aca="false">IF(OR($Q141="",$R141="",$V141=1),"",($R141-$Q141)*24)</f>
        <v/>
      </c>
      <c r="N141" s="95"/>
      <c r="O141" s="96" t="str">
        <f aca="false">IF(OR($B141="",25&gt;$O$10),"",IF($AB141=1,"! CHECK LINK",IF($V141=1,"! CHECK DATES",IF($S141=1,IF($R141="","Completed",IF($R141&lt;$D141,"Completed - Ahead",IF($R141&lt;=$D141+1/1440,"Completed - On Time","Completed - Delayed"))),IF($Q141&lt;&gt;"",IF($Y141&lt;=0.1,"In Progress - On Track","In Progress - BEHIND"),IF($M$5&lt;$C141,"Not Started","NOT STARTED - LATE"))))))</f>
        <v>Not Started</v>
      </c>
      <c r="P141" s="97"/>
      <c r="Q141" s="0" t="str">
        <f aca="false">IF($I141="","",$I141+IF($J141="",0,$J141))</f>
        <v/>
      </c>
      <c r="R141" s="0" t="str">
        <f aca="false">IF($K141="","",$K141+IF($L141="",0,$L141))</f>
        <v/>
      </c>
      <c r="S141" s="4" t="n">
        <f aca="false">IF($V141=1,0,IF($R141&lt;&gt;"",1,IF($N141="",0,$N141)))</f>
        <v>0</v>
      </c>
      <c r="T141" s="4" t="n">
        <f aca="false">IF(OR($B141="",$E141=0),0,MEDIAN(0,($M$5-$C141)/($E141/24),1))</f>
        <v>0</v>
      </c>
      <c r="U141" s="4" t="n">
        <f aca="false">($S141-$T141)*$E141</f>
        <v>0</v>
      </c>
      <c r="V141" s="4" t="n">
        <f aca="false">IF(OR(AND($Q141&lt;&gt;"",$Q141&lt;$C$8),AND($Q141&lt;&gt;"",$R141&lt;&gt;"",$R141&lt;$Q141),AND($R141&lt;&gt;"",$Q141="")),1,0)</f>
        <v>0</v>
      </c>
      <c r="W141" s="98" t="n">
        <f aca="false">IF($B141="","",IF($S141=1,IF($R141&lt;&gt;"",$R141,$D141),IF($Q141&lt;&gt;"",MAX($M$5,$Q141)+$E141*(1-$S141)/24,MAX($M$5,$C141)+$E141/24)))</f>
        <v>46312.7916666667</v>
      </c>
      <c r="X141" s="4" t="n">
        <f aca="false">IF($B141="","",ROUND(($W141-$D141)*24,1))</f>
        <v>0</v>
      </c>
      <c r="Y141" s="4" t="n">
        <f aca="false">IF($B141="","",IF($Q141&lt;&gt;"",$X141,IF($X141&gt;0,MAX($X141,IF($Y140="",0,IF($Y140&gt;0,$Y140-MAX(0,($C141-$D140)*24),$Y140))),IF($Y140="",0,IF($Y140&gt;0,$Y140-MAX(0,($C141-$D140)*24),$Y140)))))</f>
        <v>18</v>
      </c>
      <c r="AB141" s="4" t="n">
        <f aca="false">IF(AND($B141&lt;&gt;"",$F141&gt;=25),1,0)</f>
        <v>0</v>
      </c>
    </row>
    <row r="142" customFormat="false" ht="19.5" hidden="false" customHeight="true" outlineLevel="0" collapsed="false">
      <c r="A142" s="85" t="n">
        <f aca="false">IF(OR($B142="",26&gt;$O$10),"",26)</f>
        <v>26</v>
      </c>
      <c r="B142" s="86" t="s">
        <v>124</v>
      </c>
      <c r="C142" s="87" t="n">
        <f aca="true">IF(OR($B142="",26&gt;$O$10),"",IF($F142=0,$C$8,IF($G142="SS",OFFSET($C$116,$F142,0)+$H142/24,IF($G142="FF",OFFSET($D$116,$F142,0)+$H142/24-$E142/24,IF($G142="SF",OFFSET($C$116,$F142,0)+$H142/24-$E142/24,OFFSET($D$116,$F142,0)+$H142/24)))))</f>
        <v>46312.7916666667</v>
      </c>
      <c r="D142" s="87" t="n">
        <f aca="false">IF(OR($B142="",26&gt;$O$10),"",$C142+$E142/24)</f>
        <v>46312.9583333333</v>
      </c>
      <c r="E142" s="88" t="n">
        <v>4</v>
      </c>
      <c r="F142" s="89" t="n">
        <v>25</v>
      </c>
      <c r="G142" s="90" t="s">
        <v>49</v>
      </c>
      <c r="H142" s="91" t="n">
        <v>0</v>
      </c>
      <c r="I142" s="92"/>
      <c r="J142" s="93"/>
      <c r="K142" s="92"/>
      <c r="L142" s="93"/>
      <c r="M142" s="94" t="str">
        <f aca="false">IF(OR($Q142="",$R142="",$V142=1),"",($R142-$Q142)*24)</f>
        <v/>
      </c>
      <c r="N142" s="95"/>
      <c r="O142" s="96" t="str">
        <f aca="false">IF(OR($B142="",26&gt;$O$10),"",IF($AB142=1,"! CHECK LINK",IF($V142=1,"! CHECK DATES",IF($S142=1,IF($R142="","Completed",IF($R142&lt;$D142,"Completed - Ahead",IF($R142&lt;=$D142+1/1440,"Completed - On Time","Completed - Delayed"))),IF($Q142&lt;&gt;"",IF($Y142&lt;=0.1,"In Progress - On Track","In Progress - BEHIND"),IF($M$5&lt;$C142,"Not Started","NOT STARTED - LATE"))))))</f>
        <v>Not Started</v>
      </c>
      <c r="P142" s="97"/>
      <c r="Q142" s="0" t="str">
        <f aca="false">IF($I142="","",$I142+IF($J142="",0,$J142))</f>
        <v/>
      </c>
      <c r="R142" s="0" t="str">
        <f aca="false">IF($K142="","",$K142+IF($L142="",0,$L142))</f>
        <v/>
      </c>
      <c r="S142" s="4" t="n">
        <f aca="false">IF($V142=1,0,IF($R142&lt;&gt;"",1,IF($N142="",0,$N142)))</f>
        <v>0</v>
      </c>
      <c r="T142" s="4" t="n">
        <f aca="false">IF(OR($B142="",$E142=0),0,MEDIAN(0,($M$5-$C142)/($E142/24),1))</f>
        <v>0</v>
      </c>
      <c r="U142" s="4" t="n">
        <f aca="false">($S142-$T142)*$E142</f>
        <v>0</v>
      </c>
      <c r="V142" s="4" t="n">
        <f aca="false">IF(OR(AND($Q142&lt;&gt;"",$Q142&lt;$C$8),AND($Q142&lt;&gt;"",$R142&lt;&gt;"",$R142&lt;$Q142),AND($R142&lt;&gt;"",$Q142="")),1,0)</f>
        <v>0</v>
      </c>
      <c r="W142" s="98" t="n">
        <f aca="false">IF($B142="","",IF($S142=1,IF($R142&lt;&gt;"",$R142,$D142),IF($Q142&lt;&gt;"",MAX($M$5,$Q142)+$E142*(1-$S142)/24,MAX($M$5,$C142)+$E142/24)))</f>
        <v>46312.9583333333</v>
      </c>
      <c r="X142" s="4" t="n">
        <f aca="false">IF($B142="","",ROUND(($W142-$D142)*24,1))</f>
        <v>0</v>
      </c>
      <c r="Y142" s="4" t="n">
        <f aca="false">IF($B142="","",IF($Q142&lt;&gt;"",$X142,IF($X142&gt;0,MAX($X142,IF($Y141="",0,IF($Y141&gt;0,$Y141-MAX(0,($C142-$D141)*24),$Y141))),IF($Y141="",0,IF($Y141&gt;0,$Y141-MAX(0,($C142-$D141)*24),$Y141)))))</f>
        <v>18</v>
      </c>
      <c r="AB142" s="4" t="n">
        <f aca="false">IF(AND($B142&lt;&gt;"",$F142&gt;=26),1,0)</f>
        <v>0</v>
      </c>
    </row>
    <row r="143" customFormat="false" ht="19.5" hidden="false" customHeight="true" outlineLevel="0" collapsed="false">
      <c r="A143" s="99" t="s">
        <v>125</v>
      </c>
      <c r="B143" s="100" t="str">
        <f aca="false">IF($B$18="","",$B$18&amp;"   -   sum of activity hours")</f>
        <v>C288  –  KM 337+391   -   sum of activity hours</v>
      </c>
      <c r="C143" s="50"/>
      <c r="D143" s="101" t="n">
        <f aca="false">IF(COUNT($D117:$D142)=0,"",MAX($D117:$D142))</f>
        <v>46312.9583333333</v>
      </c>
      <c r="E143" s="102" t="n">
        <f aca="false">SUM($E117:$E142)</f>
        <v>47</v>
      </c>
      <c r="F143" s="50"/>
      <c r="G143" s="50"/>
      <c r="H143" s="50"/>
      <c r="I143" s="50"/>
      <c r="J143" s="50"/>
      <c r="K143" s="50"/>
      <c r="L143" s="50"/>
      <c r="M143" s="102" t="n">
        <f aca="false">SUM($M117:$M142)</f>
        <v>0</v>
      </c>
      <c r="N143" s="103" t="n">
        <f aca="false">$S143</f>
        <v>0</v>
      </c>
      <c r="O143" s="99" t="str">
        <f aca="false">IF($B$18="","",IF($X143&lt;=0,"ON TRACK","BEHIND"))</f>
        <v>BEHIND</v>
      </c>
      <c r="P143" s="50"/>
      <c r="S143" s="4" t="n">
        <f aca="false">IF($E143=0,0,SUMPRODUCT($E117:$E142,$S117:$S142)/$E143)</f>
        <v>0</v>
      </c>
      <c r="T143" s="4" t="n">
        <f aca="false">IF($E143=0,0,SUMPRODUCT($E117:$E142,$T117:$T142)/$E143)</f>
        <v>0.382978723404255</v>
      </c>
      <c r="U143" s="4" t="n">
        <f aca="false">$S143-$T143</f>
        <v>-0.382978723404255</v>
      </c>
      <c r="W143" s="98" t="n">
        <f aca="false">IF($D143="","",$D143+$X143/24)</f>
        <v>46313.7083333333</v>
      </c>
      <c r="X143" s="4" t="n">
        <f aca="false">IF(COUNT($Y117:$Y142)=0,0,LOOKUP(9.9E+307,$Y117:$Y142))</f>
        <v>18</v>
      </c>
    </row>
    <row r="145" customFormat="false" ht="24" hidden="false" customHeight="true" outlineLevel="0" collapsed="false">
      <c r="A145" s="83" t="str">
        <f aca="false">IF($B$19="","LOCATION 5  -  not used","   LOCATION 5  -  "&amp;$B$19)</f>
        <v>   LOCATION 5  -  C289  –  KM 338+491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</row>
    <row r="146" customFormat="false" ht="30" hidden="false" customHeight="true" outlineLevel="0" collapsed="false">
      <c r="A146" s="11" t="s">
        <v>24</v>
      </c>
      <c r="B146" s="11" t="s">
        <v>85</v>
      </c>
      <c r="C146" s="11" t="s">
        <v>86</v>
      </c>
      <c r="D146" s="11" t="s">
        <v>9</v>
      </c>
      <c r="E146" s="11" t="s">
        <v>87</v>
      </c>
      <c r="F146" s="11" t="s">
        <v>88</v>
      </c>
      <c r="G146" s="11" t="s">
        <v>89</v>
      </c>
      <c r="H146" s="11" t="s">
        <v>90</v>
      </c>
      <c r="I146" s="84" t="s">
        <v>91</v>
      </c>
      <c r="J146" s="84" t="s">
        <v>92</v>
      </c>
      <c r="K146" s="84" t="s">
        <v>93</v>
      </c>
      <c r="L146" s="84" t="s">
        <v>94</v>
      </c>
      <c r="M146" s="11" t="s">
        <v>95</v>
      </c>
      <c r="N146" s="84" t="s">
        <v>96</v>
      </c>
      <c r="O146" s="11" t="s">
        <v>97</v>
      </c>
      <c r="P146" s="84" t="s">
        <v>98</v>
      </c>
    </row>
    <row r="147" customFormat="false" ht="19.5" hidden="false" customHeight="true" outlineLevel="0" collapsed="false">
      <c r="A147" s="85" t="n">
        <f aca="false">IF(OR($B147="",1&gt;$O$10),"",1)</f>
        <v>1</v>
      </c>
      <c r="B147" s="86" t="s">
        <v>130</v>
      </c>
      <c r="C147" s="87" t="n">
        <f aca="true">IF(OR($B147="",1&gt;$O$10),"",IF($F147=0,$C$8,IF($G147="SS",OFFSET($C$146,$F147,0)+$H147/24,IF($G147="FF",OFFSET($D$146,$F147,0)+$H147/24-$E147/24,IF($G147="SF",OFFSET($C$146,$F147,0)+$H147/24-$E147/24,OFFSET($D$146,$F147,0)+$H147/24)))))</f>
        <v>46311</v>
      </c>
      <c r="D147" s="87" t="n">
        <f aca="false">IF(OR($B147="",1&gt;$O$10),"",$C147+$E147/24)</f>
        <v>46311.0416666667</v>
      </c>
      <c r="E147" s="88" t="n">
        <v>1</v>
      </c>
      <c r="F147" s="89" t="n">
        <v>0</v>
      </c>
      <c r="G147" s="90" t="s">
        <v>49</v>
      </c>
      <c r="H147" s="91" t="n">
        <v>0</v>
      </c>
      <c r="I147" s="92"/>
      <c r="J147" s="93"/>
      <c r="K147" s="92"/>
      <c r="L147" s="93"/>
      <c r="M147" s="94" t="str">
        <f aca="false">IF(OR($Q147="",$R147="",$V147=1),"",($R147-$Q147)*24)</f>
        <v/>
      </c>
      <c r="N147" s="95"/>
      <c r="O147" s="96" t="str">
        <f aca="false">IF(OR($B147="",1&gt;$O$10),"",IF($AB147=1,"! CHECK LINK",IF($V147=1,"! CHECK DATES",IF($S147=1,IF($R147="","Completed",IF($R147&lt;$D147,"Completed - Ahead",IF($R147&lt;=$D147+1/1440,"Completed - On Time","Completed - Delayed"))),IF($Q147&lt;&gt;"",IF($Y147&lt;=0.1,"In Progress - On Track","In Progress - BEHIND"),IF($M$5&lt;$C147,"Not Started","NOT STARTED - LATE"))))))</f>
        <v>NOT STARTED - LATE</v>
      </c>
      <c r="P147" s="97"/>
      <c r="Q147" s="0" t="str">
        <f aca="false">IF($I147="","",$I147+IF($J147="",0,$J147))</f>
        <v/>
      </c>
      <c r="R147" s="0" t="str">
        <f aca="false">IF($K147="","",$K147+IF($L147="",0,$L147))</f>
        <v/>
      </c>
      <c r="S147" s="4" t="n">
        <f aca="false">IF($V147=1,0,IF($R147&lt;&gt;"",1,IF($N147="",0,$N147)))</f>
        <v>0</v>
      </c>
      <c r="T147" s="4" t="n">
        <f aca="false">IF(OR($B147="",$E147=0),0,MEDIAN(0,($M$5-$C147)/($E147/24),1))</f>
        <v>1</v>
      </c>
      <c r="U147" s="4" t="n">
        <f aca="false">($S147-$T147)*$E147</f>
        <v>-1</v>
      </c>
      <c r="V147" s="4" t="n">
        <f aca="false">IF(OR(AND($Q147&lt;&gt;"",$Q147&lt;$C$8),AND($Q147&lt;&gt;"",$R147&lt;&gt;"",$R147&lt;$Q147),AND($R147&lt;&gt;"",$Q147="")),1,0)</f>
        <v>0</v>
      </c>
      <c r="W147" s="98" t="n">
        <f aca="false">IF($B147="","",IF($S147=1,IF($R147&lt;&gt;"",$R147,$D147),IF($Q147&lt;&gt;"",MAX($M$5,$Q147)+$E147*(1-$S147)/24,MAX($M$5,$C147)+$E147/24)))</f>
        <v>46311.7916666667</v>
      </c>
      <c r="X147" s="4" t="n">
        <f aca="false">IF($B147="","",ROUND(($W147-$D147)*24,1))</f>
        <v>18</v>
      </c>
      <c r="Y147" s="4" t="n">
        <f aca="false">IF($B147="","",$X147)</f>
        <v>18</v>
      </c>
      <c r="AB147" s="4" t="n">
        <f aca="false">IF(AND($B147&lt;&gt;"",$F147&gt;=1),1,0)</f>
        <v>0</v>
      </c>
    </row>
    <row r="148" customFormat="false" ht="19.5" hidden="false" customHeight="true" outlineLevel="0" collapsed="false">
      <c r="A148" s="85" t="n">
        <f aca="false">IF(OR($B148="",2&gt;$O$10),"",2)</f>
        <v>2</v>
      </c>
      <c r="B148" s="86" t="s">
        <v>100</v>
      </c>
      <c r="C148" s="87" t="n">
        <f aca="true">IF(OR($B148="",2&gt;$O$10),"",IF($F148=0,$C$8,IF($G148="SS",OFFSET($C$146,$F148,0)+$H148/24,IF($G148="FF",OFFSET($D$146,$F148,0)+$H148/24-$E148/24,IF($G148="SF",OFFSET($C$146,$F148,0)+$H148/24-$E148/24,OFFSET($D$146,$F148,0)+$H148/24)))))</f>
        <v>46311.0416666667</v>
      </c>
      <c r="D148" s="87" t="n">
        <f aca="false">IF(OR($B148="",2&gt;$O$10),"",$C148+$E148/24)</f>
        <v>46311.0833333333</v>
      </c>
      <c r="E148" s="88" t="n">
        <v>1</v>
      </c>
      <c r="F148" s="89" t="n">
        <v>1</v>
      </c>
      <c r="G148" s="90" t="s">
        <v>49</v>
      </c>
      <c r="H148" s="91" t="n">
        <v>0</v>
      </c>
      <c r="I148" s="92"/>
      <c r="J148" s="93"/>
      <c r="K148" s="92"/>
      <c r="L148" s="93"/>
      <c r="M148" s="94" t="str">
        <f aca="false">IF(OR($Q148="",$R148="",$V148=1),"",($R148-$Q148)*24)</f>
        <v/>
      </c>
      <c r="N148" s="95"/>
      <c r="O148" s="96" t="str">
        <f aca="false">IF(OR($B148="",2&gt;$O$10),"",IF($AB148=1,"! CHECK LINK",IF($V148=1,"! CHECK DATES",IF($S148=1,IF($R148="","Completed",IF($R148&lt;$D148,"Completed - Ahead",IF($R148&lt;=$D148+1/1440,"Completed - On Time","Completed - Delayed"))),IF($Q148&lt;&gt;"",IF($Y148&lt;=0.1,"In Progress - On Track","In Progress - BEHIND"),IF($M$5&lt;$C148,"Not Started","NOT STARTED - LATE"))))))</f>
        <v>NOT STARTED - LATE</v>
      </c>
      <c r="P148" s="97"/>
      <c r="Q148" s="0" t="str">
        <f aca="false">IF($I148="","",$I148+IF($J148="",0,$J148))</f>
        <v/>
      </c>
      <c r="R148" s="0" t="str">
        <f aca="false">IF($K148="","",$K148+IF($L148="",0,$L148))</f>
        <v/>
      </c>
      <c r="S148" s="4" t="n">
        <f aca="false">IF($V148=1,0,IF($R148&lt;&gt;"",1,IF($N148="",0,$N148)))</f>
        <v>0</v>
      </c>
      <c r="T148" s="4" t="n">
        <f aca="false">IF(OR($B148="",$E148=0),0,MEDIAN(0,($M$5-$C148)/($E148/24),1))</f>
        <v>1</v>
      </c>
      <c r="U148" s="4" t="n">
        <f aca="false">($S148-$T148)*$E148</f>
        <v>-1</v>
      </c>
      <c r="V148" s="4" t="n">
        <f aca="false">IF(OR(AND($Q148&lt;&gt;"",$Q148&lt;$C$8),AND($Q148&lt;&gt;"",$R148&lt;&gt;"",$R148&lt;$Q148),AND($R148&lt;&gt;"",$Q148="")),1,0)</f>
        <v>0</v>
      </c>
      <c r="W148" s="98" t="n">
        <f aca="false">IF($B148="","",IF($S148=1,IF($R148&lt;&gt;"",$R148,$D148),IF($Q148&lt;&gt;"",MAX($M$5,$Q148)+$E148*(1-$S148)/24,MAX($M$5,$C148)+$E148/24)))</f>
        <v>46311.7916666667</v>
      </c>
      <c r="X148" s="4" t="n">
        <f aca="false">IF($B148="","",ROUND(($W148-$D148)*24,1))</f>
        <v>17</v>
      </c>
      <c r="Y148" s="4" t="n">
        <f aca="false">IF($B148="","",IF($Q148&lt;&gt;"",$X148,IF($X148&gt;0,MAX($X148,IF($Y147="",0,IF($Y147&gt;0,$Y147-MAX(0,($C148-$D147)*24),$Y147))),IF($Y147="",0,IF($Y147&gt;0,$Y147-MAX(0,($C148-$D147)*24),$Y147)))))</f>
        <v>18</v>
      </c>
      <c r="AB148" s="4" t="n">
        <f aca="false">IF(AND($B148&lt;&gt;"",$F148&gt;=2),1,0)</f>
        <v>0</v>
      </c>
    </row>
    <row r="149" customFormat="false" ht="19.5" hidden="false" customHeight="true" outlineLevel="0" collapsed="false">
      <c r="A149" s="85" t="n">
        <f aca="false">IF(OR($B149="",3&gt;$O$10),"",3)</f>
        <v>3</v>
      </c>
      <c r="B149" s="86" t="s">
        <v>101</v>
      </c>
      <c r="C149" s="87" t="n">
        <f aca="true">IF(OR($B149="",3&gt;$O$10),"",IF($F149=0,$C$8,IF($G149="SS",OFFSET($C$146,$F149,0)+$H149/24,IF($G149="FF",OFFSET($D$146,$F149,0)+$H149/24-$E149/24,IF($G149="SF",OFFSET($C$146,$F149,0)+$H149/24-$E149/24,OFFSET($D$146,$F149,0)+$H149/24)))))</f>
        <v>46311</v>
      </c>
      <c r="D149" s="87" t="n">
        <f aca="false">IF(OR($B149="",3&gt;$O$10),"",$C149+$E149/24)</f>
        <v>46311.0416666667</v>
      </c>
      <c r="E149" s="88" t="n">
        <v>1</v>
      </c>
      <c r="F149" s="89" t="n">
        <v>1</v>
      </c>
      <c r="G149" s="90" t="s">
        <v>50</v>
      </c>
      <c r="H149" s="91" t="n">
        <v>0</v>
      </c>
      <c r="I149" s="92"/>
      <c r="J149" s="93"/>
      <c r="K149" s="92"/>
      <c r="L149" s="93"/>
      <c r="M149" s="94" t="str">
        <f aca="false">IF(OR($Q149="",$R149="",$V149=1),"",($R149-$Q149)*24)</f>
        <v/>
      </c>
      <c r="N149" s="95"/>
      <c r="O149" s="96" t="str">
        <f aca="false">IF(OR($B149="",3&gt;$O$10),"",IF($AB149=1,"! CHECK LINK",IF($V149=1,"! CHECK DATES",IF($S149=1,IF($R149="","Completed",IF($R149&lt;$D149,"Completed - Ahead",IF($R149&lt;=$D149+1/1440,"Completed - On Time","Completed - Delayed"))),IF($Q149&lt;&gt;"",IF($Y149&lt;=0.1,"In Progress - On Track","In Progress - BEHIND"),IF($M$5&lt;$C149,"Not Started","NOT STARTED - LATE"))))))</f>
        <v>NOT STARTED - LATE</v>
      </c>
      <c r="P149" s="97"/>
      <c r="Q149" s="0" t="str">
        <f aca="false">IF($I149="","",$I149+IF($J149="",0,$J149))</f>
        <v/>
      </c>
      <c r="R149" s="0" t="str">
        <f aca="false">IF($K149="","",$K149+IF($L149="",0,$L149))</f>
        <v/>
      </c>
      <c r="S149" s="4" t="n">
        <f aca="false">IF($V149=1,0,IF($R149&lt;&gt;"",1,IF($N149="",0,$N149)))</f>
        <v>0</v>
      </c>
      <c r="T149" s="4" t="n">
        <f aca="false">IF(OR($B149="",$E149=0),0,MEDIAN(0,($M$5-$C149)/($E149/24),1))</f>
        <v>1</v>
      </c>
      <c r="U149" s="4" t="n">
        <f aca="false">($S149-$T149)*$E149</f>
        <v>-1</v>
      </c>
      <c r="V149" s="4" t="n">
        <f aca="false">IF(OR(AND($Q149&lt;&gt;"",$Q149&lt;$C$8),AND($Q149&lt;&gt;"",$R149&lt;&gt;"",$R149&lt;$Q149),AND($R149&lt;&gt;"",$Q149="")),1,0)</f>
        <v>0</v>
      </c>
      <c r="W149" s="98" t="n">
        <f aca="false">IF($B149="","",IF($S149=1,IF($R149&lt;&gt;"",$R149,$D149),IF($Q149&lt;&gt;"",MAX($M$5,$Q149)+$E149*(1-$S149)/24,MAX($M$5,$C149)+$E149/24)))</f>
        <v>46311.7916666667</v>
      </c>
      <c r="X149" s="4" t="n">
        <f aca="false">IF($B149="","",ROUND(($W149-$D149)*24,1))</f>
        <v>18</v>
      </c>
      <c r="Y149" s="4" t="n">
        <f aca="false">IF($B149="","",IF($Q149&lt;&gt;"",$X149,IF($X149&gt;0,MAX($X149,IF($Y148="",0,IF($Y148&gt;0,$Y148-MAX(0,($C149-$D148)*24),$Y148))),IF($Y148="",0,IF($Y148&gt;0,$Y148-MAX(0,($C149-$D148)*24),$Y148)))))</f>
        <v>18</v>
      </c>
      <c r="AB149" s="4" t="n">
        <f aca="false">IF(AND($B149&lt;&gt;"",$F149&gt;=3),1,0)</f>
        <v>0</v>
      </c>
    </row>
    <row r="150" customFormat="false" ht="19.5" hidden="false" customHeight="true" outlineLevel="0" collapsed="false">
      <c r="A150" s="85" t="n">
        <f aca="false">IF(OR($B150="",4&gt;$O$10),"",4)</f>
        <v>4</v>
      </c>
      <c r="B150" s="86" t="s">
        <v>102</v>
      </c>
      <c r="C150" s="87" t="n">
        <f aca="true">IF(OR($B150="",4&gt;$O$10),"",IF($F150=0,$C$8,IF($G150="SS",OFFSET($C$146,$F150,0)+$H150/24,IF($G150="FF",OFFSET($D$146,$F150,0)+$H150/24-$E150/24,IF($G150="SF",OFFSET($C$146,$F150,0)+$H150/24-$E150/24,OFFSET($D$146,$F150,0)+$H150/24)))))</f>
        <v>46311.0416666667</v>
      </c>
      <c r="D150" s="87" t="n">
        <f aca="false">IF(OR($B150="",4&gt;$O$10),"",$C150+$E150/24)</f>
        <v>46311.0833333333</v>
      </c>
      <c r="E150" s="88" t="n">
        <v>1</v>
      </c>
      <c r="F150" s="89" t="n">
        <v>3</v>
      </c>
      <c r="G150" s="90" t="s">
        <v>49</v>
      </c>
      <c r="H150" s="91" t="n">
        <v>0</v>
      </c>
      <c r="I150" s="92"/>
      <c r="J150" s="93"/>
      <c r="K150" s="92"/>
      <c r="L150" s="93"/>
      <c r="M150" s="94" t="str">
        <f aca="false">IF(OR($Q150="",$R150="",$V150=1),"",($R150-$Q150)*24)</f>
        <v/>
      </c>
      <c r="N150" s="95"/>
      <c r="O150" s="96" t="str">
        <f aca="false">IF(OR($B150="",4&gt;$O$10),"",IF($AB150=1,"! CHECK LINK",IF($V150=1,"! CHECK DATES",IF($S150=1,IF($R150="","Completed",IF($R150&lt;$D150,"Completed - Ahead",IF($R150&lt;=$D150+1/1440,"Completed - On Time","Completed - Delayed"))),IF($Q150&lt;&gt;"",IF($Y150&lt;=0.1,"In Progress - On Track","In Progress - BEHIND"),IF($M$5&lt;$C150,"Not Started","NOT STARTED - LATE"))))))</f>
        <v>NOT STARTED - LATE</v>
      </c>
      <c r="P150" s="97"/>
      <c r="Q150" s="0" t="str">
        <f aca="false">IF($I150="","",$I150+IF($J150="",0,$J150))</f>
        <v/>
      </c>
      <c r="R150" s="0" t="str">
        <f aca="false">IF($K150="","",$K150+IF($L150="",0,$L150))</f>
        <v/>
      </c>
      <c r="S150" s="4" t="n">
        <f aca="false">IF($V150=1,0,IF($R150&lt;&gt;"",1,IF($N150="",0,$N150)))</f>
        <v>0</v>
      </c>
      <c r="T150" s="4" t="n">
        <f aca="false">IF(OR($B150="",$E150=0),0,MEDIAN(0,($M$5-$C150)/($E150/24),1))</f>
        <v>1</v>
      </c>
      <c r="U150" s="4" t="n">
        <f aca="false">($S150-$T150)*$E150</f>
        <v>-1</v>
      </c>
      <c r="V150" s="4" t="n">
        <f aca="false">IF(OR(AND($Q150&lt;&gt;"",$Q150&lt;$C$8),AND($Q150&lt;&gt;"",$R150&lt;&gt;"",$R150&lt;$Q150),AND($R150&lt;&gt;"",$Q150="")),1,0)</f>
        <v>0</v>
      </c>
      <c r="W150" s="98" t="n">
        <f aca="false">IF($B150="","",IF($S150=1,IF($R150&lt;&gt;"",$R150,$D150),IF($Q150&lt;&gt;"",MAX($M$5,$Q150)+$E150*(1-$S150)/24,MAX($M$5,$C150)+$E150/24)))</f>
        <v>46311.7916666667</v>
      </c>
      <c r="X150" s="4" t="n">
        <f aca="false">IF($B150="","",ROUND(($W150-$D150)*24,1))</f>
        <v>17</v>
      </c>
      <c r="Y150" s="4" t="n">
        <f aca="false">IF($B150="","",IF($Q150&lt;&gt;"",$X150,IF($X150&gt;0,MAX($X150,IF($Y149="",0,IF($Y149&gt;0,$Y149-MAX(0,($C150-$D149)*24),$Y149))),IF($Y149="",0,IF($Y149&gt;0,$Y149-MAX(0,($C150-$D149)*24),$Y149)))))</f>
        <v>18</v>
      </c>
      <c r="AB150" s="4" t="n">
        <f aca="false">IF(AND($B150&lt;&gt;"",$F150&gt;=4),1,0)</f>
        <v>0</v>
      </c>
    </row>
    <row r="151" customFormat="false" ht="19.5" hidden="false" customHeight="true" outlineLevel="0" collapsed="false">
      <c r="A151" s="85" t="n">
        <f aca="false">IF(OR($B151="",5&gt;$O$10),"",5)</f>
        <v>5</v>
      </c>
      <c r="B151" s="86" t="s">
        <v>103</v>
      </c>
      <c r="C151" s="87" t="n">
        <f aca="true">IF(OR($B151="",5&gt;$O$10),"",IF($F151=0,$C$8,IF($G151="SS",OFFSET($C$146,$F151,0)+$H151/24,IF($G151="FF",OFFSET($D$146,$F151,0)+$H151/24-$E151/24,IF($G151="SF",OFFSET($C$146,$F151,0)+$H151/24-$E151/24,OFFSET($D$146,$F151,0)+$H151/24)))))</f>
        <v>46311.0833333333</v>
      </c>
      <c r="D151" s="87" t="n">
        <f aca="false">IF(OR($B151="",5&gt;$O$10),"",$C151+$E151/24)</f>
        <v>46311.1666666667</v>
      </c>
      <c r="E151" s="88" t="n">
        <v>2</v>
      </c>
      <c r="F151" s="89" t="n">
        <v>4</v>
      </c>
      <c r="G151" s="90" t="s">
        <v>49</v>
      </c>
      <c r="H151" s="91" t="n">
        <v>0</v>
      </c>
      <c r="I151" s="92"/>
      <c r="J151" s="93"/>
      <c r="K151" s="92"/>
      <c r="L151" s="93"/>
      <c r="M151" s="94" t="str">
        <f aca="false">IF(OR($Q151="",$R151="",$V151=1),"",($R151-$Q151)*24)</f>
        <v/>
      </c>
      <c r="N151" s="95"/>
      <c r="O151" s="96" t="str">
        <f aca="false">IF(OR($B151="",5&gt;$O$10),"",IF($AB151=1,"! CHECK LINK",IF($V151=1,"! CHECK DATES",IF($S151=1,IF($R151="","Completed",IF($R151&lt;$D151,"Completed - Ahead",IF($R151&lt;=$D151+1/1440,"Completed - On Time","Completed - Delayed"))),IF($Q151&lt;&gt;"",IF($Y151&lt;=0.1,"In Progress - On Track","In Progress - BEHIND"),IF($M$5&lt;$C151,"Not Started","NOT STARTED - LATE"))))))</f>
        <v>NOT STARTED - LATE</v>
      </c>
      <c r="P151" s="97"/>
      <c r="Q151" s="0" t="str">
        <f aca="false">IF($I151="","",$I151+IF($J151="",0,$J151))</f>
        <v/>
      </c>
      <c r="R151" s="0" t="str">
        <f aca="false">IF($K151="","",$K151+IF($L151="",0,$L151))</f>
        <v/>
      </c>
      <c r="S151" s="4" t="n">
        <f aca="false">IF($V151=1,0,IF($R151&lt;&gt;"",1,IF($N151="",0,$N151)))</f>
        <v>0</v>
      </c>
      <c r="T151" s="4" t="n">
        <f aca="false">IF(OR($B151="",$E151=0),0,MEDIAN(0,($M$5-$C151)/($E151/24),1))</f>
        <v>1</v>
      </c>
      <c r="U151" s="4" t="n">
        <f aca="false">($S151-$T151)*$E151</f>
        <v>-2</v>
      </c>
      <c r="V151" s="4" t="n">
        <f aca="false">IF(OR(AND($Q151&lt;&gt;"",$Q151&lt;$C$8),AND($Q151&lt;&gt;"",$R151&lt;&gt;"",$R151&lt;$Q151),AND($R151&lt;&gt;"",$Q151="")),1,0)</f>
        <v>0</v>
      </c>
      <c r="W151" s="98" t="n">
        <f aca="false">IF($B151="","",IF($S151=1,IF($R151&lt;&gt;"",$R151,$D151),IF($Q151&lt;&gt;"",MAX($M$5,$Q151)+$E151*(1-$S151)/24,MAX($M$5,$C151)+$E151/24)))</f>
        <v>46311.8333333333</v>
      </c>
      <c r="X151" s="4" t="n">
        <f aca="false">IF($B151="","",ROUND(($W151-$D151)*24,1))</f>
        <v>16</v>
      </c>
      <c r="Y151" s="4" t="n">
        <f aca="false">IF($B151="","",IF($Q151&lt;&gt;"",$X151,IF($X151&gt;0,MAX($X151,IF($Y150="",0,IF($Y150&gt;0,$Y150-MAX(0,($C151-$D150)*24),$Y150))),IF($Y150="",0,IF($Y150&gt;0,$Y150-MAX(0,($C151-$D150)*24),$Y150)))))</f>
        <v>18</v>
      </c>
      <c r="AB151" s="4" t="n">
        <f aca="false">IF(AND($B151&lt;&gt;"",$F151&gt;=5),1,0)</f>
        <v>0</v>
      </c>
    </row>
    <row r="152" customFormat="false" ht="19.5" hidden="false" customHeight="true" outlineLevel="0" collapsed="false">
      <c r="A152" s="85" t="n">
        <f aca="false">IF(OR($B152="",6&gt;$O$10),"",6)</f>
        <v>6</v>
      </c>
      <c r="B152" s="86" t="s">
        <v>104</v>
      </c>
      <c r="C152" s="87" t="n">
        <f aca="true">IF(OR($B152="",6&gt;$O$10),"",IF($F152=0,$C$8,IF($G152="SS",OFFSET($C$146,$F152,0)+$H152/24,IF($G152="FF",OFFSET($D$146,$F152,0)+$H152/24-$E152/24,IF($G152="SF",OFFSET($C$146,$F152,0)+$H152/24-$E152/24,OFFSET($D$146,$F152,0)+$H152/24)))))</f>
        <v>46311.1666666667</v>
      </c>
      <c r="D152" s="87" t="n">
        <f aca="false">IF(OR($B152="",6&gt;$O$10),"",$C152+$E152/24)</f>
        <v>46311.3333333333</v>
      </c>
      <c r="E152" s="88" t="n">
        <v>4</v>
      </c>
      <c r="F152" s="89" t="n">
        <v>5</v>
      </c>
      <c r="G152" s="90" t="s">
        <v>49</v>
      </c>
      <c r="H152" s="91" t="n">
        <v>0</v>
      </c>
      <c r="I152" s="92"/>
      <c r="J152" s="93"/>
      <c r="K152" s="92"/>
      <c r="L152" s="93"/>
      <c r="M152" s="94" t="str">
        <f aca="false">IF(OR($Q152="",$R152="",$V152=1),"",($R152-$Q152)*24)</f>
        <v/>
      </c>
      <c r="N152" s="95"/>
      <c r="O152" s="96" t="str">
        <f aca="false">IF(OR($B152="",6&gt;$O$10),"",IF($AB152=1,"! CHECK LINK",IF($V152=1,"! CHECK DATES",IF($S152=1,IF($R152="","Completed",IF($R152&lt;$D152,"Completed - Ahead",IF($R152&lt;=$D152+1/1440,"Completed - On Time","Completed - Delayed"))),IF($Q152&lt;&gt;"",IF($Y152&lt;=0.1,"In Progress - On Track","In Progress - BEHIND"),IF($M$5&lt;$C152,"Not Started","NOT STARTED - LATE"))))))</f>
        <v>NOT STARTED - LATE</v>
      </c>
      <c r="P152" s="97"/>
      <c r="Q152" s="0" t="str">
        <f aca="false">IF($I152="","",$I152+IF($J152="",0,$J152))</f>
        <v/>
      </c>
      <c r="R152" s="0" t="str">
        <f aca="false">IF($K152="","",$K152+IF($L152="",0,$L152))</f>
        <v/>
      </c>
      <c r="S152" s="4" t="n">
        <f aca="false">IF($V152=1,0,IF($R152&lt;&gt;"",1,IF($N152="",0,$N152)))</f>
        <v>0</v>
      </c>
      <c r="T152" s="4" t="n">
        <f aca="false">IF(OR($B152="",$E152=0),0,MEDIAN(0,($M$5-$C152)/($E152/24),1))</f>
        <v>1</v>
      </c>
      <c r="U152" s="4" t="n">
        <f aca="false">($S152-$T152)*$E152</f>
        <v>-4</v>
      </c>
      <c r="V152" s="4" t="n">
        <f aca="false">IF(OR(AND($Q152&lt;&gt;"",$Q152&lt;$C$8),AND($Q152&lt;&gt;"",$R152&lt;&gt;"",$R152&lt;$Q152),AND($R152&lt;&gt;"",$Q152="")),1,0)</f>
        <v>0</v>
      </c>
      <c r="W152" s="98" t="n">
        <f aca="false">IF($B152="","",IF($S152=1,IF($R152&lt;&gt;"",$R152,$D152),IF($Q152&lt;&gt;"",MAX($M$5,$Q152)+$E152*(1-$S152)/24,MAX($M$5,$C152)+$E152/24)))</f>
        <v>46311.9166666667</v>
      </c>
      <c r="X152" s="4" t="n">
        <f aca="false">IF($B152="","",ROUND(($W152-$D152)*24,1))</f>
        <v>14</v>
      </c>
      <c r="Y152" s="4" t="n">
        <f aca="false">IF($B152="","",IF($Q152&lt;&gt;"",$X152,IF($X152&gt;0,MAX($X152,IF($Y151="",0,IF($Y151&gt;0,$Y151-MAX(0,($C152-$D151)*24),$Y151))),IF($Y151="",0,IF($Y151&gt;0,$Y151-MAX(0,($C152-$D151)*24),$Y151)))))</f>
        <v>18</v>
      </c>
      <c r="AB152" s="4" t="n">
        <f aca="false">IF(AND($B152&lt;&gt;"",$F152&gt;=6),1,0)</f>
        <v>0</v>
      </c>
    </row>
    <row r="153" customFormat="false" ht="19.5" hidden="false" customHeight="true" outlineLevel="0" collapsed="false">
      <c r="A153" s="85" t="n">
        <f aca="false">IF(OR($B153="",7&gt;$O$10),"",7)</f>
        <v>7</v>
      </c>
      <c r="B153" s="86" t="s">
        <v>105</v>
      </c>
      <c r="C153" s="87" t="n">
        <f aca="true">IF(OR($B153="",7&gt;$O$10),"",IF($F153=0,$C$8,IF($G153="SS",OFFSET($C$146,$F153,0)+$H153/24,IF($G153="FF",OFFSET($D$146,$F153,0)+$H153/24-$E153/24,IF($G153="SF",OFFSET($C$146,$F153,0)+$H153/24-$E153/24,OFFSET($D$146,$F153,0)+$H153/24)))))</f>
        <v>46311.3333333333</v>
      </c>
      <c r="D153" s="87" t="n">
        <f aca="false">IF(OR($B153="",7&gt;$O$10),"",$C153+$E153/24)</f>
        <v>46311.4166666667</v>
      </c>
      <c r="E153" s="88" t="n">
        <v>2</v>
      </c>
      <c r="F153" s="89" t="n">
        <v>6</v>
      </c>
      <c r="G153" s="90" t="s">
        <v>49</v>
      </c>
      <c r="H153" s="91" t="n">
        <v>0</v>
      </c>
      <c r="I153" s="92"/>
      <c r="J153" s="93"/>
      <c r="K153" s="92"/>
      <c r="L153" s="93"/>
      <c r="M153" s="94" t="str">
        <f aca="false">IF(OR($Q153="",$R153="",$V153=1),"",($R153-$Q153)*24)</f>
        <v/>
      </c>
      <c r="N153" s="95"/>
      <c r="O153" s="96" t="str">
        <f aca="false">IF(OR($B153="",7&gt;$O$10),"",IF($AB153=1,"! CHECK LINK",IF($V153=1,"! CHECK DATES",IF($S153=1,IF($R153="","Completed",IF($R153&lt;$D153,"Completed - Ahead",IF($R153&lt;=$D153+1/1440,"Completed - On Time","Completed - Delayed"))),IF($Q153&lt;&gt;"",IF($Y153&lt;=0.1,"In Progress - On Track","In Progress - BEHIND"),IF($M$5&lt;$C153,"Not Started","NOT STARTED - LATE"))))))</f>
        <v>NOT STARTED - LATE</v>
      </c>
      <c r="P153" s="97"/>
      <c r="Q153" s="0" t="str">
        <f aca="false">IF($I153="","",$I153+IF($J153="",0,$J153))</f>
        <v/>
      </c>
      <c r="R153" s="0" t="str">
        <f aca="false">IF($K153="","",$K153+IF($L153="",0,$L153))</f>
        <v/>
      </c>
      <c r="S153" s="4" t="n">
        <f aca="false">IF($V153=1,0,IF($R153&lt;&gt;"",1,IF($N153="",0,$N153)))</f>
        <v>0</v>
      </c>
      <c r="T153" s="4" t="n">
        <f aca="false">IF(OR($B153="",$E153=0),0,MEDIAN(0,($M$5-$C153)/($E153/24),1))</f>
        <v>1</v>
      </c>
      <c r="U153" s="4" t="n">
        <f aca="false">($S153-$T153)*$E153</f>
        <v>-2</v>
      </c>
      <c r="V153" s="4" t="n">
        <f aca="false">IF(OR(AND($Q153&lt;&gt;"",$Q153&lt;$C$8),AND($Q153&lt;&gt;"",$R153&lt;&gt;"",$R153&lt;$Q153),AND($R153&lt;&gt;"",$Q153="")),1,0)</f>
        <v>0</v>
      </c>
      <c r="W153" s="98" t="n">
        <f aca="false">IF($B153="","",IF($S153=1,IF($R153&lt;&gt;"",$R153,$D153),IF($Q153&lt;&gt;"",MAX($M$5,$Q153)+$E153*(1-$S153)/24,MAX($M$5,$C153)+$E153/24)))</f>
        <v>46311.8333333333</v>
      </c>
      <c r="X153" s="4" t="n">
        <f aca="false">IF($B153="","",ROUND(($W153-$D153)*24,1))</f>
        <v>10</v>
      </c>
      <c r="Y153" s="4" t="n">
        <f aca="false">IF($B153="","",IF($Q153&lt;&gt;"",$X153,IF($X153&gt;0,MAX($X153,IF($Y152="",0,IF($Y152&gt;0,$Y152-MAX(0,($C153-$D152)*24),$Y152))),IF($Y152="",0,IF($Y152&gt;0,$Y152-MAX(0,($C153-$D152)*24),$Y152)))))</f>
        <v>18</v>
      </c>
      <c r="AB153" s="4" t="n">
        <f aca="false">IF(AND($B153&lt;&gt;"",$F153&gt;=7),1,0)</f>
        <v>0</v>
      </c>
    </row>
    <row r="154" customFormat="false" ht="19.5" hidden="false" customHeight="true" outlineLevel="0" collapsed="false">
      <c r="A154" s="85" t="n">
        <f aca="false">IF(OR($B154="",8&gt;$O$10),"",8)</f>
        <v>8</v>
      </c>
      <c r="B154" s="86" t="s">
        <v>106</v>
      </c>
      <c r="C154" s="87" t="n">
        <f aca="true">IF(OR($B154="",8&gt;$O$10),"",IF($F154=0,$C$8,IF($G154="SS",OFFSET($C$146,$F154,0)+$H154/24,IF($G154="FF",OFFSET($D$146,$F154,0)+$H154/24-$E154/24,IF($G154="SF",OFFSET($C$146,$F154,0)+$H154/24-$E154/24,OFFSET($D$146,$F154,0)+$H154/24)))))</f>
        <v>46311.4166666667</v>
      </c>
      <c r="D154" s="87" t="n">
        <f aca="false">IF(OR($B154="",8&gt;$O$10),"",$C154+$E154/24)</f>
        <v>46311.5</v>
      </c>
      <c r="E154" s="88" t="n">
        <v>2</v>
      </c>
      <c r="F154" s="89" t="n">
        <v>7</v>
      </c>
      <c r="G154" s="90" t="s">
        <v>49</v>
      </c>
      <c r="H154" s="91" t="n">
        <v>0</v>
      </c>
      <c r="I154" s="92"/>
      <c r="J154" s="93"/>
      <c r="K154" s="92"/>
      <c r="L154" s="93"/>
      <c r="M154" s="94" t="str">
        <f aca="false">IF(OR($Q154="",$R154="",$V154=1),"",($R154-$Q154)*24)</f>
        <v/>
      </c>
      <c r="N154" s="95"/>
      <c r="O154" s="96" t="str">
        <f aca="false">IF(OR($B154="",8&gt;$O$10),"",IF($AB154=1,"! CHECK LINK",IF($V154=1,"! CHECK DATES",IF($S154=1,IF($R154="","Completed",IF($R154&lt;$D154,"Completed - Ahead",IF($R154&lt;=$D154+1/1440,"Completed - On Time","Completed - Delayed"))),IF($Q154&lt;&gt;"",IF($Y154&lt;=0.1,"In Progress - On Track","In Progress - BEHIND"),IF($M$5&lt;$C154,"Not Started","NOT STARTED - LATE"))))))</f>
        <v>NOT STARTED - LATE</v>
      </c>
      <c r="P154" s="97"/>
      <c r="Q154" s="0" t="str">
        <f aca="false">IF($I154="","",$I154+IF($J154="",0,$J154))</f>
        <v/>
      </c>
      <c r="R154" s="0" t="str">
        <f aca="false">IF($K154="","",$K154+IF($L154="",0,$L154))</f>
        <v/>
      </c>
      <c r="S154" s="4" t="n">
        <f aca="false">IF($V154=1,0,IF($R154&lt;&gt;"",1,IF($N154="",0,$N154)))</f>
        <v>0</v>
      </c>
      <c r="T154" s="4" t="n">
        <f aca="false">IF(OR($B154="",$E154=0),0,MEDIAN(0,($M$5-$C154)/($E154/24),1))</f>
        <v>1</v>
      </c>
      <c r="U154" s="4" t="n">
        <f aca="false">($S154-$T154)*$E154</f>
        <v>-2</v>
      </c>
      <c r="V154" s="4" t="n">
        <f aca="false">IF(OR(AND($Q154&lt;&gt;"",$Q154&lt;$C$8),AND($Q154&lt;&gt;"",$R154&lt;&gt;"",$R154&lt;$Q154),AND($R154&lt;&gt;"",$Q154="")),1,0)</f>
        <v>0</v>
      </c>
      <c r="W154" s="98" t="n">
        <f aca="false">IF($B154="","",IF($S154=1,IF($R154&lt;&gt;"",$R154,$D154),IF($Q154&lt;&gt;"",MAX($M$5,$Q154)+$E154*(1-$S154)/24,MAX($M$5,$C154)+$E154/24)))</f>
        <v>46311.8333333333</v>
      </c>
      <c r="X154" s="4" t="n">
        <f aca="false">IF($B154="","",ROUND(($W154-$D154)*24,1))</f>
        <v>8</v>
      </c>
      <c r="Y154" s="4" t="n">
        <f aca="false">IF($B154="","",IF($Q154&lt;&gt;"",$X154,IF($X154&gt;0,MAX($X154,IF($Y153="",0,IF($Y153&gt;0,$Y153-MAX(0,($C154-$D153)*24),$Y153))),IF($Y153="",0,IF($Y153&gt;0,$Y153-MAX(0,($C154-$D153)*24),$Y153)))))</f>
        <v>18</v>
      </c>
      <c r="AB154" s="4" t="n">
        <f aca="false">IF(AND($B154&lt;&gt;"",$F154&gt;=8),1,0)</f>
        <v>0</v>
      </c>
    </row>
    <row r="155" customFormat="false" ht="19.5" hidden="false" customHeight="true" outlineLevel="0" collapsed="false">
      <c r="A155" s="85" t="n">
        <f aca="false">IF(OR($B155="",9&gt;$O$10),"",9)</f>
        <v>9</v>
      </c>
      <c r="B155" s="86" t="s">
        <v>107</v>
      </c>
      <c r="C155" s="87" t="n">
        <f aca="true">IF(OR($B155="",9&gt;$O$10),"",IF($F155=0,$C$8,IF($G155="SS",OFFSET($C$146,$F155,0)+$H155/24,IF($G155="FF",OFFSET($D$146,$F155,0)+$H155/24-$E155/24,IF($G155="SF",OFFSET($C$146,$F155,0)+$H155/24-$E155/24,OFFSET($D$146,$F155,0)+$H155/24)))))</f>
        <v>46311.5</v>
      </c>
      <c r="D155" s="87" t="n">
        <f aca="false">IF(OR($B155="",9&gt;$O$10),"",$C155+$E155/24)</f>
        <v>46311.5833333333</v>
      </c>
      <c r="E155" s="88" t="n">
        <v>2</v>
      </c>
      <c r="F155" s="89" t="n">
        <v>8</v>
      </c>
      <c r="G155" s="90" t="s">
        <v>49</v>
      </c>
      <c r="H155" s="91" t="n">
        <v>0</v>
      </c>
      <c r="I155" s="92"/>
      <c r="J155" s="93"/>
      <c r="K155" s="92"/>
      <c r="L155" s="93"/>
      <c r="M155" s="94" t="str">
        <f aca="false">IF(OR($Q155="",$R155="",$V155=1),"",($R155-$Q155)*24)</f>
        <v/>
      </c>
      <c r="N155" s="95"/>
      <c r="O155" s="96" t="str">
        <f aca="false">IF(OR($B155="",9&gt;$O$10),"",IF($AB155=1,"! CHECK LINK",IF($V155=1,"! CHECK DATES",IF($S155=1,IF($R155="","Completed",IF($R155&lt;$D155,"Completed - Ahead",IF($R155&lt;=$D155+1/1440,"Completed - On Time","Completed - Delayed"))),IF($Q155&lt;&gt;"",IF($Y155&lt;=0.1,"In Progress - On Track","In Progress - BEHIND"),IF($M$5&lt;$C155,"Not Started","NOT STARTED - LATE"))))))</f>
        <v>NOT STARTED - LATE</v>
      </c>
      <c r="P155" s="97"/>
      <c r="Q155" s="0" t="str">
        <f aca="false">IF($I155="","",$I155+IF($J155="",0,$J155))</f>
        <v/>
      </c>
      <c r="R155" s="0" t="str">
        <f aca="false">IF($K155="","",$K155+IF($L155="",0,$L155))</f>
        <v/>
      </c>
      <c r="S155" s="4" t="n">
        <f aca="false">IF($V155=1,0,IF($R155&lt;&gt;"",1,IF($N155="",0,$N155)))</f>
        <v>0</v>
      </c>
      <c r="T155" s="4" t="n">
        <f aca="false">IF(OR($B155="",$E155=0),0,MEDIAN(0,($M$5-$C155)/($E155/24),1))</f>
        <v>1</v>
      </c>
      <c r="U155" s="4" t="n">
        <f aca="false">($S155-$T155)*$E155</f>
        <v>-2</v>
      </c>
      <c r="V155" s="4" t="n">
        <f aca="false">IF(OR(AND($Q155&lt;&gt;"",$Q155&lt;$C$8),AND($Q155&lt;&gt;"",$R155&lt;&gt;"",$R155&lt;$Q155),AND($R155&lt;&gt;"",$Q155="")),1,0)</f>
        <v>0</v>
      </c>
      <c r="W155" s="98" t="n">
        <f aca="false">IF($B155="","",IF($S155=1,IF($R155&lt;&gt;"",$R155,$D155),IF($Q155&lt;&gt;"",MAX($M$5,$Q155)+$E155*(1-$S155)/24,MAX($M$5,$C155)+$E155/24)))</f>
        <v>46311.8333333333</v>
      </c>
      <c r="X155" s="4" t="n">
        <f aca="false">IF($B155="","",ROUND(($W155-$D155)*24,1))</f>
        <v>6</v>
      </c>
      <c r="Y155" s="4" t="n">
        <f aca="false">IF($B155="","",IF($Q155&lt;&gt;"",$X155,IF($X155&gt;0,MAX($X155,IF($Y154="",0,IF($Y154&gt;0,$Y154-MAX(0,($C155-$D154)*24),$Y154))),IF($Y154="",0,IF($Y154&gt;0,$Y154-MAX(0,($C155-$D154)*24),$Y154)))))</f>
        <v>18</v>
      </c>
      <c r="AB155" s="4" t="n">
        <f aca="false">IF(AND($B155&lt;&gt;"",$F155&gt;=9),1,0)</f>
        <v>0</v>
      </c>
    </row>
    <row r="156" customFormat="false" ht="19.5" hidden="false" customHeight="true" outlineLevel="0" collapsed="false">
      <c r="A156" s="85" t="n">
        <f aca="false">IF(OR($B156="",10&gt;$O$10),"",10)</f>
        <v>10</v>
      </c>
      <c r="B156" s="86" t="s">
        <v>108</v>
      </c>
      <c r="C156" s="87" t="n">
        <f aca="true">IF(OR($B156="",10&gt;$O$10),"",IF($F156=0,$C$8,IF($G156="SS",OFFSET($C$146,$F156,0)+$H156/24,IF($G156="FF",OFFSET($D$146,$F156,0)+$H156/24-$E156/24,IF($G156="SF",OFFSET($C$146,$F156,0)+$H156/24-$E156/24,OFFSET($D$146,$F156,0)+$H156/24)))))</f>
        <v>46311.5833333333</v>
      </c>
      <c r="D156" s="87" t="n">
        <f aca="false">IF(OR($B156="",10&gt;$O$10),"",$C156+$E156/24)</f>
        <v>46311.7916666667</v>
      </c>
      <c r="E156" s="88" t="n">
        <v>5</v>
      </c>
      <c r="F156" s="89" t="n">
        <v>9</v>
      </c>
      <c r="G156" s="90" t="s">
        <v>49</v>
      </c>
      <c r="H156" s="91" t="n">
        <v>0</v>
      </c>
      <c r="I156" s="92"/>
      <c r="J156" s="93"/>
      <c r="K156" s="92"/>
      <c r="L156" s="93"/>
      <c r="M156" s="94" t="str">
        <f aca="false">IF(OR($Q156="",$R156="",$V156=1),"",($R156-$Q156)*24)</f>
        <v/>
      </c>
      <c r="N156" s="95"/>
      <c r="O156" s="96" t="str">
        <f aca="false">IF(OR($B156="",10&gt;$O$10),"",IF($AB156=1,"! CHECK LINK",IF($V156=1,"! CHECK DATES",IF($S156=1,IF($R156="","Completed",IF($R156&lt;$D156,"Completed - Ahead",IF($R156&lt;=$D156+1/1440,"Completed - On Time","Completed - Delayed"))),IF($Q156&lt;&gt;"",IF($Y156&lt;=0.1,"In Progress - On Track","In Progress - BEHIND"),IF($M$5&lt;$C156,"Not Started","NOT STARTED - LATE"))))))</f>
        <v>NOT STARTED - LATE</v>
      </c>
      <c r="P156" s="97"/>
      <c r="Q156" s="0" t="str">
        <f aca="false">IF($I156="","",$I156+IF($J156="",0,$J156))</f>
        <v/>
      </c>
      <c r="R156" s="0" t="str">
        <f aca="false">IF($K156="","",$K156+IF($L156="",0,$L156))</f>
        <v/>
      </c>
      <c r="S156" s="4" t="n">
        <f aca="false">IF($V156=1,0,IF($R156&lt;&gt;"",1,IF($N156="",0,$N156)))</f>
        <v>0</v>
      </c>
      <c r="T156" s="4" t="n">
        <f aca="false">IF(OR($B156="",$E156=0),0,MEDIAN(0,($M$5-$C156)/($E156/24),1))</f>
        <v>0.8</v>
      </c>
      <c r="U156" s="4" t="n">
        <f aca="false">($S156-$T156)*$E156</f>
        <v>-4</v>
      </c>
      <c r="V156" s="4" t="n">
        <f aca="false">IF(OR(AND($Q156&lt;&gt;"",$Q156&lt;$C$8),AND($Q156&lt;&gt;"",$R156&lt;&gt;"",$R156&lt;$Q156),AND($R156&lt;&gt;"",$Q156="")),1,0)</f>
        <v>0</v>
      </c>
      <c r="W156" s="98" t="n">
        <f aca="false">IF($B156="","",IF($S156=1,IF($R156&lt;&gt;"",$R156,$D156),IF($Q156&lt;&gt;"",MAX($M$5,$Q156)+$E156*(1-$S156)/24,MAX($M$5,$C156)+$E156/24)))</f>
        <v>46311.9583333333</v>
      </c>
      <c r="X156" s="4" t="n">
        <f aca="false">IF($B156="","",ROUND(($W156-$D156)*24,1))</f>
        <v>4</v>
      </c>
      <c r="Y156" s="4" t="n">
        <f aca="false">IF($B156="","",IF($Q156&lt;&gt;"",$X156,IF($X156&gt;0,MAX($X156,IF($Y155="",0,IF($Y155&gt;0,$Y155-MAX(0,($C156-$D155)*24),$Y155))),IF($Y155="",0,IF($Y155&gt;0,$Y155-MAX(0,($C156-$D155)*24),$Y155)))))</f>
        <v>18</v>
      </c>
      <c r="AB156" s="4" t="n">
        <f aca="false">IF(AND($B156&lt;&gt;"",$F156&gt;=10),1,0)</f>
        <v>0</v>
      </c>
    </row>
    <row r="157" customFormat="false" ht="19.5" hidden="false" customHeight="true" outlineLevel="0" collapsed="false">
      <c r="A157" s="85" t="n">
        <f aca="false">IF(OR($B157="",11&gt;$O$10),"",11)</f>
        <v>11</v>
      </c>
      <c r="B157" s="86" t="s">
        <v>109</v>
      </c>
      <c r="C157" s="87" t="n">
        <f aca="true">IF(OR($B157="",11&gt;$O$10),"",IF($F157=0,$C$8,IF($G157="SS",OFFSET($C$146,$F157,0)+$H157/24,IF($G157="FF",OFFSET($D$146,$F157,0)+$H157/24-$E157/24,IF($G157="SF",OFFSET($C$146,$F157,0)+$H157/24-$E157/24,OFFSET($D$146,$F157,0)+$H157/24)))))</f>
        <v>46311.7916666667</v>
      </c>
      <c r="D157" s="87" t="n">
        <f aca="false">IF(OR($B157="",11&gt;$O$10),"",$C157+$E157/24)</f>
        <v>46311.875</v>
      </c>
      <c r="E157" s="88" t="n">
        <v>2</v>
      </c>
      <c r="F157" s="89" t="n">
        <v>10</v>
      </c>
      <c r="G157" s="90" t="s">
        <v>49</v>
      </c>
      <c r="H157" s="91" t="n">
        <v>0</v>
      </c>
      <c r="I157" s="92"/>
      <c r="J157" s="93"/>
      <c r="K157" s="92"/>
      <c r="L157" s="93"/>
      <c r="M157" s="94" t="str">
        <f aca="false">IF(OR($Q157="",$R157="",$V157=1),"",($R157-$Q157)*24)</f>
        <v/>
      </c>
      <c r="N157" s="95"/>
      <c r="O157" s="96" t="str">
        <f aca="false">IF(OR($B157="",11&gt;$O$10),"",IF($AB157=1,"! CHECK LINK",IF($V157=1,"! CHECK DATES",IF($S157=1,IF($R157="","Completed",IF($R157&lt;$D157,"Completed - Ahead",IF($R157&lt;=$D157+1/1440,"Completed - On Time","Completed - Delayed"))),IF($Q157&lt;&gt;"",IF($Y157&lt;=0.1,"In Progress - On Track","In Progress - BEHIND"),IF($M$5&lt;$C157,"Not Started","NOT STARTED - LATE"))))))</f>
        <v>Not Started</v>
      </c>
      <c r="P157" s="97"/>
      <c r="Q157" s="0" t="str">
        <f aca="false">IF($I157="","",$I157+IF($J157="",0,$J157))</f>
        <v/>
      </c>
      <c r="R157" s="0" t="str">
        <f aca="false">IF($K157="","",$K157+IF($L157="",0,$L157))</f>
        <v/>
      </c>
      <c r="S157" s="4" t="n">
        <f aca="false">IF($V157=1,0,IF($R157&lt;&gt;"",1,IF($N157="",0,$N157)))</f>
        <v>0</v>
      </c>
      <c r="T157" s="4" t="n">
        <f aca="false">IF(OR($B157="",$E157=0),0,MEDIAN(0,($M$5-$C157)/($E157/24),1))</f>
        <v>0</v>
      </c>
      <c r="U157" s="4" t="n">
        <f aca="false">($S157-$T157)*$E157</f>
        <v>0</v>
      </c>
      <c r="V157" s="4" t="n">
        <f aca="false">IF(OR(AND($Q157&lt;&gt;"",$Q157&lt;$C$8),AND($Q157&lt;&gt;"",$R157&lt;&gt;"",$R157&lt;$Q157),AND($R157&lt;&gt;"",$Q157="")),1,0)</f>
        <v>0</v>
      </c>
      <c r="W157" s="98" t="n">
        <f aca="false">IF($B157="","",IF($S157=1,IF($R157&lt;&gt;"",$R157,$D157),IF($Q157&lt;&gt;"",MAX($M$5,$Q157)+$E157*(1-$S157)/24,MAX($M$5,$C157)+$E157/24)))</f>
        <v>46311.875</v>
      </c>
      <c r="X157" s="4" t="n">
        <f aca="false">IF($B157="","",ROUND(($W157-$D157)*24,1))</f>
        <v>0</v>
      </c>
      <c r="Y157" s="4" t="n">
        <f aca="false">IF($B157="","",IF($Q157&lt;&gt;"",$X157,IF($X157&gt;0,MAX($X157,IF($Y156="",0,IF($Y156&gt;0,$Y156-MAX(0,($C157-$D156)*24),$Y156))),IF($Y156="",0,IF($Y156&gt;0,$Y156-MAX(0,($C157-$D156)*24),$Y156)))))</f>
        <v>18</v>
      </c>
      <c r="AB157" s="4" t="n">
        <f aca="false">IF(AND($B157&lt;&gt;"",$F157&gt;=11),1,0)</f>
        <v>0</v>
      </c>
    </row>
    <row r="158" customFormat="false" ht="19.5" hidden="false" customHeight="true" outlineLevel="0" collapsed="false">
      <c r="A158" s="85" t="n">
        <f aca="false">IF(OR($B158="",12&gt;$O$10),"",12)</f>
        <v>12</v>
      </c>
      <c r="B158" s="86" t="s">
        <v>110</v>
      </c>
      <c r="C158" s="87" t="n">
        <f aca="true">IF(OR($B158="",12&gt;$O$10),"",IF($F158=0,$C$8,IF($G158="SS",OFFSET($C$146,$F158,0)+$H158/24,IF($G158="FF",OFFSET($D$146,$F158,0)+$H158/24-$E158/24,IF($G158="SF",OFFSET($C$146,$F158,0)+$H158/24-$E158/24,OFFSET($D$146,$F158,0)+$H158/24)))))</f>
        <v>46311.875</v>
      </c>
      <c r="D158" s="87" t="n">
        <f aca="false">IF(OR($B158="",12&gt;$O$10),"",$C158+$E158/24)</f>
        <v>46311.9166666667</v>
      </c>
      <c r="E158" s="88" t="n">
        <v>1</v>
      </c>
      <c r="F158" s="89" t="n">
        <v>11</v>
      </c>
      <c r="G158" s="90" t="s">
        <v>49</v>
      </c>
      <c r="H158" s="91" t="n">
        <v>0</v>
      </c>
      <c r="I158" s="92"/>
      <c r="J158" s="93"/>
      <c r="K158" s="92"/>
      <c r="L158" s="93"/>
      <c r="M158" s="94" t="str">
        <f aca="false">IF(OR($Q158="",$R158="",$V158=1),"",($R158-$Q158)*24)</f>
        <v/>
      </c>
      <c r="N158" s="95"/>
      <c r="O158" s="96" t="str">
        <f aca="false">IF(OR($B158="",12&gt;$O$10),"",IF($AB158=1,"! CHECK LINK",IF($V158=1,"! CHECK DATES",IF($S158=1,IF($R158="","Completed",IF($R158&lt;$D158,"Completed - Ahead",IF($R158&lt;=$D158+1/1440,"Completed - On Time","Completed - Delayed"))),IF($Q158&lt;&gt;"",IF($Y158&lt;=0.1,"In Progress - On Track","In Progress - BEHIND"),IF($M$5&lt;$C158,"Not Started","NOT STARTED - LATE"))))))</f>
        <v>Not Started</v>
      </c>
      <c r="P158" s="97"/>
      <c r="Q158" s="0" t="str">
        <f aca="false">IF($I158="","",$I158+IF($J158="",0,$J158))</f>
        <v/>
      </c>
      <c r="R158" s="0" t="str">
        <f aca="false">IF($K158="","",$K158+IF($L158="",0,$L158))</f>
        <v/>
      </c>
      <c r="S158" s="4" t="n">
        <f aca="false">IF($V158=1,0,IF($R158&lt;&gt;"",1,IF($N158="",0,$N158)))</f>
        <v>0</v>
      </c>
      <c r="T158" s="4" t="n">
        <f aca="false">IF(OR($B158="",$E158=0),0,MEDIAN(0,($M$5-$C158)/($E158/24),1))</f>
        <v>0</v>
      </c>
      <c r="U158" s="4" t="n">
        <f aca="false">($S158-$T158)*$E158</f>
        <v>0</v>
      </c>
      <c r="V158" s="4" t="n">
        <f aca="false">IF(OR(AND($Q158&lt;&gt;"",$Q158&lt;$C$8),AND($Q158&lt;&gt;"",$R158&lt;&gt;"",$R158&lt;$Q158),AND($R158&lt;&gt;"",$Q158="")),1,0)</f>
        <v>0</v>
      </c>
      <c r="W158" s="98" t="n">
        <f aca="false">IF($B158="","",IF($S158=1,IF($R158&lt;&gt;"",$R158,$D158),IF($Q158&lt;&gt;"",MAX($M$5,$Q158)+$E158*(1-$S158)/24,MAX($M$5,$C158)+$E158/24)))</f>
        <v>46311.9166666667</v>
      </c>
      <c r="X158" s="4" t="n">
        <f aca="false">IF($B158="","",ROUND(($W158-$D158)*24,1))</f>
        <v>0</v>
      </c>
      <c r="Y158" s="4" t="n">
        <f aca="false">IF($B158="","",IF($Q158&lt;&gt;"",$X158,IF($X158&gt;0,MAX($X158,IF($Y157="",0,IF($Y157&gt;0,$Y157-MAX(0,($C158-$D157)*24),$Y157))),IF($Y157="",0,IF($Y157&gt;0,$Y157-MAX(0,($C158-$D157)*24),$Y157)))))</f>
        <v>18</v>
      </c>
      <c r="AB158" s="4" t="n">
        <f aca="false">IF(AND($B158&lt;&gt;"",$F158&gt;=12),1,0)</f>
        <v>0</v>
      </c>
    </row>
    <row r="159" customFormat="false" ht="19.5" hidden="false" customHeight="true" outlineLevel="0" collapsed="false">
      <c r="A159" s="85" t="n">
        <f aca="false">IF(OR($B159="",13&gt;$O$10),"",13)</f>
        <v>13</v>
      </c>
      <c r="B159" s="86" t="s">
        <v>111</v>
      </c>
      <c r="C159" s="87" t="n">
        <f aca="true">IF(OR($B159="",13&gt;$O$10),"",IF($F159=0,$C$8,IF($G159="SS",OFFSET($C$146,$F159,0)+$H159/24,IF($G159="FF",OFFSET($D$146,$F159,0)+$H159/24-$E159/24,IF($G159="SF",OFFSET($C$146,$F159,0)+$H159/24-$E159/24,OFFSET($D$146,$F159,0)+$H159/24)))))</f>
        <v>46311.9166666667</v>
      </c>
      <c r="D159" s="87" t="n">
        <f aca="false">IF(OR($B159="",13&gt;$O$10),"",$C159+$E159/24)</f>
        <v>46311.9583333333</v>
      </c>
      <c r="E159" s="88" t="n">
        <v>1</v>
      </c>
      <c r="F159" s="89" t="n">
        <v>12</v>
      </c>
      <c r="G159" s="90" t="s">
        <v>49</v>
      </c>
      <c r="H159" s="91" t="n">
        <v>0</v>
      </c>
      <c r="I159" s="92"/>
      <c r="J159" s="93"/>
      <c r="K159" s="92"/>
      <c r="L159" s="93"/>
      <c r="M159" s="94" t="str">
        <f aca="false">IF(OR($Q159="",$R159="",$V159=1),"",($R159-$Q159)*24)</f>
        <v/>
      </c>
      <c r="N159" s="95"/>
      <c r="O159" s="96" t="str">
        <f aca="false">IF(OR($B159="",13&gt;$O$10),"",IF($AB159=1,"! CHECK LINK",IF($V159=1,"! CHECK DATES",IF($S159=1,IF($R159="","Completed",IF($R159&lt;$D159,"Completed - Ahead",IF($R159&lt;=$D159+1/1440,"Completed - On Time","Completed - Delayed"))),IF($Q159&lt;&gt;"",IF($Y159&lt;=0.1,"In Progress - On Track","In Progress - BEHIND"),IF($M$5&lt;$C159,"Not Started","NOT STARTED - LATE"))))))</f>
        <v>Not Started</v>
      </c>
      <c r="P159" s="97"/>
      <c r="Q159" s="0" t="str">
        <f aca="false">IF($I159="","",$I159+IF($J159="",0,$J159))</f>
        <v/>
      </c>
      <c r="R159" s="0" t="str">
        <f aca="false">IF($K159="","",$K159+IF($L159="",0,$L159))</f>
        <v/>
      </c>
      <c r="S159" s="4" t="n">
        <f aca="false">IF($V159=1,0,IF($R159&lt;&gt;"",1,IF($N159="",0,$N159)))</f>
        <v>0</v>
      </c>
      <c r="T159" s="4" t="n">
        <f aca="false">IF(OR($B159="",$E159=0),0,MEDIAN(0,($M$5-$C159)/($E159/24),1))</f>
        <v>0</v>
      </c>
      <c r="U159" s="4" t="n">
        <f aca="false">($S159-$T159)*$E159</f>
        <v>0</v>
      </c>
      <c r="V159" s="4" t="n">
        <f aca="false">IF(OR(AND($Q159&lt;&gt;"",$Q159&lt;$C$8),AND($Q159&lt;&gt;"",$R159&lt;&gt;"",$R159&lt;$Q159),AND($R159&lt;&gt;"",$Q159="")),1,0)</f>
        <v>0</v>
      </c>
      <c r="W159" s="98" t="n">
        <f aca="false">IF($B159="","",IF($S159=1,IF($R159&lt;&gt;"",$R159,$D159),IF($Q159&lt;&gt;"",MAX($M$5,$Q159)+$E159*(1-$S159)/24,MAX($M$5,$C159)+$E159/24)))</f>
        <v>46311.9583333333</v>
      </c>
      <c r="X159" s="4" t="n">
        <f aca="false">IF($B159="","",ROUND(($W159-$D159)*24,1))</f>
        <v>0</v>
      </c>
      <c r="Y159" s="4" t="n">
        <f aca="false">IF($B159="","",IF($Q159&lt;&gt;"",$X159,IF($X159&gt;0,MAX($X159,IF($Y158="",0,IF($Y158&gt;0,$Y158-MAX(0,($C159-$D158)*24),$Y158))),IF($Y158="",0,IF($Y158&gt;0,$Y158-MAX(0,($C159-$D158)*24),$Y158)))))</f>
        <v>18</v>
      </c>
      <c r="AB159" s="4" t="n">
        <f aca="false">IF(AND($B159&lt;&gt;"",$F159&gt;=13),1,0)</f>
        <v>0</v>
      </c>
    </row>
    <row r="160" customFormat="false" ht="19.5" hidden="false" customHeight="true" outlineLevel="0" collapsed="false">
      <c r="A160" s="85" t="n">
        <f aca="false">IF(OR($B160="",14&gt;$O$10),"",14)</f>
        <v>14</v>
      </c>
      <c r="B160" s="86" t="s">
        <v>112</v>
      </c>
      <c r="C160" s="87" t="n">
        <f aca="true">IF(OR($B160="",14&gt;$O$10),"",IF($F160=0,$C$8,IF($G160="SS",OFFSET($C$146,$F160,0)+$H160/24,IF($G160="FF",OFFSET($D$146,$F160,0)+$H160/24-$E160/24,IF($G160="SF",OFFSET($C$146,$F160,0)+$H160/24-$E160/24,OFFSET($D$146,$F160,0)+$H160/24)))))</f>
        <v>46311.9583333333</v>
      </c>
      <c r="D160" s="87" t="n">
        <f aca="false">IF(OR($B160="",14&gt;$O$10),"",$C160+$E160/24)</f>
        <v>46312</v>
      </c>
      <c r="E160" s="88" t="n">
        <v>1</v>
      </c>
      <c r="F160" s="89" t="n">
        <v>13</v>
      </c>
      <c r="G160" s="90" t="s">
        <v>49</v>
      </c>
      <c r="H160" s="91" t="n">
        <v>0</v>
      </c>
      <c r="I160" s="92"/>
      <c r="J160" s="93"/>
      <c r="K160" s="92"/>
      <c r="L160" s="93"/>
      <c r="M160" s="94" t="str">
        <f aca="false">IF(OR($Q160="",$R160="",$V160=1),"",($R160-$Q160)*24)</f>
        <v/>
      </c>
      <c r="N160" s="95"/>
      <c r="O160" s="96" t="str">
        <f aca="false">IF(OR($B160="",14&gt;$O$10),"",IF($AB160=1,"! CHECK LINK",IF($V160=1,"! CHECK DATES",IF($S160=1,IF($R160="","Completed",IF($R160&lt;$D160,"Completed - Ahead",IF($R160&lt;=$D160+1/1440,"Completed - On Time","Completed - Delayed"))),IF($Q160&lt;&gt;"",IF($Y160&lt;=0.1,"In Progress - On Track","In Progress - BEHIND"),IF($M$5&lt;$C160,"Not Started","NOT STARTED - LATE"))))))</f>
        <v>Not Started</v>
      </c>
      <c r="P160" s="97"/>
      <c r="Q160" s="0" t="str">
        <f aca="false">IF($I160="","",$I160+IF($J160="",0,$J160))</f>
        <v/>
      </c>
      <c r="R160" s="0" t="str">
        <f aca="false">IF($K160="","",$K160+IF($L160="",0,$L160))</f>
        <v/>
      </c>
      <c r="S160" s="4" t="n">
        <f aca="false">IF($V160=1,0,IF($R160&lt;&gt;"",1,IF($N160="",0,$N160)))</f>
        <v>0</v>
      </c>
      <c r="T160" s="4" t="n">
        <f aca="false">IF(OR($B160="",$E160=0),0,MEDIAN(0,($M$5-$C160)/($E160/24),1))</f>
        <v>0</v>
      </c>
      <c r="U160" s="4" t="n">
        <f aca="false">($S160-$T160)*$E160</f>
        <v>0</v>
      </c>
      <c r="V160" s="4" t="n">
        <f aca="false">IF(OR(AND($Q160&lt;&gt;"",$Q160&lt;$C$8),AND($Q160&lt;&gt;"",$R160&lt;&gt;"",$R160&lt;$Q160),AND($R160&lt;&gt;"",$Q160="")),1,0)</f>
        <v>0</v>
      </c>
      <c r="W160" s="98" t="n">
        <f aca="false">IF($B160="","",IF($S160=1,IF($R160&lt;&gt;"",$R160,$D160),IF($Q160&lt;&gt;"",MAX($M$5,$Q160)+$E160*(1-$S160)/24,MAX($M$5,$C160)+$E160/24)))</f>
        <v>46312</v>
      </c>
      <c r="X160" s="4" t="n">
        <f aca="false">IF($B160="","",ROUND(($W160-$D160)*24,1))</f>
        <v>0</v>
      </c>
      <c r="Y160" s="4" t="n">
        <f aca="false">IF($B160="","",IF($Q160&lt;&gt;"",$X160,IF($X160&gt;0,MAX($X160,IF($Y159="",0,IF($Y159&gt;0,$Y159-MAX(0,($C160-$D159)*24),$Y159))),IF($Y159="",0,IF($Y159&gt;0,$Y159-MAX(0,($C160-$D159)*24),$Y159)))))</f>
        <v>18</v>
      </c>
      <c r="AB160" s="4" t="n">
        <f aca="false">IF(AND($B160&lt;&gt;"",$F160&gt;=14),1,0)</f>
        <v>0</v>
      </c>
    </row>
    <row r="161" customFormat="false" ht="19.5" hidden="false" customHeight="true" outlineLevel="0" collapsed="false">
      <c r="A161" s="85" t="n">
        <f aca="false">IF(OR($B161="",15&gt;$O$10),"",15)</f>
        <v>15</v>
      </c>
      <c r="B161" s="86" t="s">
        <v>113</v>
      </c>
      <c r="C161" s="87" t="n">
        <f aca="true">IF(OR($B161="",15&gt;$O$10),"",IF($F161=0,$C$8,IF($G161="SS",OFFSET($C$146,$F161,0)+$H161/24,IF($G161="FF",OFFSET($D$146,$F161,0)+$H161/24-$E161/24,IF($G161="SF",OFFSET($C$146,$F161,0)+$H161/24-$E161/24,OFFSET($D$146,$F161,0)+$H161/24)))))</f>
        <v>46312</v>
      </c>
      <c r="D161" s="87" t="n">
        <f aca="false">IF(OR($B161="",15&gt;$O$10),"",$C161+$E161/24)</f>
        <v>46312.0416666667</v>
      </c>
      <c r="E161" s="88" t="n">
        <v>1</v>
      </c>
      <c r="F161" s="89" t="n">
        <v>14</v>
      </c>
      <c r="G161" s="90" t="s">
        <v>49</v>
      </c>
      <c r="H161" s="91" t="n">
        <v>0</v>
      </c>
      <c r="I161" s="92"/>
      <c r="J161" s="93"/>
      <c r="K161" s="92"/>
      <c r="L161" s="93"/>
      <c r="M161" s="94" t="str">
        <f aca="false">IF(OR($Q161="",$R161="",$V161=1),"",($R161-$Q161)*24)</f>
        <v/>
      </c>
      <c r="N161" s="95"/>
      <c r="O161" s="96" t="str">
        <f aca="false">IF(OR($B161="",15&gt;$O$10),"",IF($AB161=1,"! CHECK LINK",IF($V161=1,"! CHECK DATES",IF($S161=1,IF($R161="","Completed",IF($R161&lt;$D161,"Completed - Ahead",IF($R161&lt;=$D161+1/1440,"Completed - On Time","Completed - Delayed"))),IF($Q161&lt;&gt;"",IF($Y161&lt;=0.1,"In Progress - On Track","In Progress - BEHIND"),IF($M$5&lt;$C161,"Not Started","NOT STARTED - LATE"))))))</f>
        <v>Not Started</v>
      </c>
      <c r="P161" s="97"/>
      <c r="Q161" s="0" t="str">
        <f aca="false">IF($I161="","",$I161+IF($J161="",0,$J161))</f>
        <v/>
      </c>
      <c r="R161" s="0" t="str">
        <f aca="false">IF($K161="","",$K161+IF($L161="",0,$L161))</f>
        <v/>
      </c>
      <c r="S161" s="4" t="n">
        <f aca="false">IF($V161=1,0,IF($R161&lt;&gt;"",1,IF($N161="",0,$N161)))</f>
        <v>0</v>
      </c>
      <c r="T161" s="4" t="n">
        <f aca="false">IF(OR($B161="",$E161=0),0,MEDIAN(0,($M$5-$C161)/($E161/24),1))</f>
        <v>0</v>
      </c>
      <c r="U161" s="4" t="n">
        <f aca="false">($S161-$T161)*$E161</f>
        <v>0</v>
      </c>
      <c r="V161" s="4" t="n">
        <f aca="false">IF(OR(AND($Q161&lt;&gt;"",$Q161&lt;$C$8),AND($Q161&lt;&gt;"",$R161&lt;&gt;"",$R161&lt;$Q161),AND($R161&lt;&gt;"",$Q161="")),1,0)</f>
        <v>0</v>
      </c>
      <c r="W161" s="98" t="n">
        <f aca="false">IF($B161="","",IF($S161=1,IF($R161&lt;&gt;"",$R161,$D161),IF($Q161&lt;&gt;"",MAX($M$5,$Q161)+$E161*(1-$S161)/24,MAX($M$5,$C161)+$E161/24)))</f>
        <v>46312.0416666667</v>
      </c>
      <c r="X161" s="4" t="n">
        <f aca="false">IF($B161="","",ROUND(($W161-$D161)*24,1))</f>
        <v>0</v>
      </c>
      <c r="Y161" s="4" t="n">
        <f aca="false">IF($B161="","",IF($Q161&lt;&gt;"",$X161,IF($X161&gt;0,MAX($X161,IF($Y160="",0,IF($Y160&gt;0,$Y160-MAX(0,($C161-$D160)*24),$Y160))),IF($Y160="",0,IF($Y160&gt;0,$Y160-MAX(0,($C161-$D160)*24),$Y160)))))</f>
        <v>18</v>
      </c>
      <c r="AB161" s="4" t="n">
        <f aca="false">IF(AND($B161&lt;&gt;"",$F161&gt;=15),1,0)</f>
        <v>0</v>
      </c>
    </row>
    <row r="162" customFormat="false" ht="19.5" hidden="false" customHeight="true" outlineLevel="0" collapsed="false">
      <c r="A162" s="85" t="n">
        <f aca="false">IF(OR($B162="",16&gt;$O$10),"",16)</f>
        <v>16</v>
      </c>
      <c r="B162" s="86" t="s">
        <v>114</v>
      </c>
      <c r="C162" s="87" t="n">
        <f aca="true">IF(OR($B162="",16&gt;$O$10),"",IF($F162=0,$C$8,IF($G162="SS",OFFSET($C$146,$F162,0)+$H162/24,IF($G162="FF",OFFSET($D$146,$F162,0)+$H162/24-$E162/24,IF($G162="SF",OFFSET($C$146,$F162,0)+$H162/24-$E162/24,OFFSET($D$146,$F162,0)+$H162/24)))))</f>
        <v>46312.0416666667</v>
      </c>
      <c r="D162" s="87" t="n">
        <f aca="false">IF(OR($B162="",16&gt;$O$10),"",$C162+$E162/24)</f>
        <v>46312.0833333333</v>
      </c>
      <c r="E162" s="88" t="n">
        <v>1</v>
      </c>
      <c r="F162" s="89" t="n">
        <v>15</v>
      </c>
      <c r="G162" s="90" t="s">
        <v>49</v>
      </c>
      <c r="H162" s="91" t="n">
        <v>0</v>
      </c>
      <c r="I162" s="92"/>
      <c r="J162" s="93"/>
      <c r="K162" s="92"/>
      <c r="L162" s="93"/>
      <c r="M162" s="94" t="str">
        <f aca="false">IF(OR($Q162="",$R162="",$V162=1),"",($R162-$Q162)*24)</f>
        <v/>
      </c>
      <c r="N162" s="95"/>
      <c r="O162" s="96" t="str">
        <f aca="false">IF(OR($B162="",16&gt;$O$10),"",IF($AB162=1,"! CHECK LINK",IF($V162=1,"! CHECK DATES",IF($S162=1,IF($R162="","Completed",IF($R162&lt;$D162,"Completed - Ahead",IF($R162&lt;=$D162+1/1440,"Completed - On Time","Completed - Delayed"))),IF($Q162&lt;&gt;"",IF($Y162&lt;=0.1,"In Progress - On Track","In Progress - BEHIND"),IF($M$5&lt;$C162,"Not Started","NOT STARTED - LATE"))))))</f>
        <v>Not Started</v>
      </c>
      <c r="P162" s="97"/>
      <c r="Q162" s="0" t="str">
        <f aca="false">IF($I162="","",$I162+IF($J162="",0,$J162))</f>
        <v/>
      </c>
      <c r="R162" s="0" t="str">
        <f aca="false">IF($K162="","",$K162+IF($L162="",0,$L162))</f>
        <v/>
      </c>
      <c r="S162" s="4" t="n">
        <f aca="false">IF($V162=1,0,IF($R162&lt;&gt;"",1,IF($N162="",0,$N162)))</f>
        <v>0</v>
      </c>
      <c r="T162" s="4" t="n">
        <f aca="false">IF(OR($B162="",$E162=0),0,MEDIAN(0,($M$5-$C162)/($E162/24),1))</f>
        <v>0</v>
      </c>
      <c r="U162" s="4" t="n">
        <f aca="false">($S162-$T162)*$E162</f>
        <v>0</v>
      </c>
      <c r="V162" s="4" t="n">
        <f aca="false">IF(OR(AND($Q162&lt;&gt;"",$Q162&lt;$C$8),AND($Q162&lt;&gt;"",$R162&lt;&gt;"",$R162&lt;$Q162),AND($R162&lt;&gt;"",$Q162="")),1,0)</f>
        <v>0</v>
      </c>
      <c r="W162" s="98" t="n">
        <f aca="false">IF($B162="","",IF($S162=1,IF($R162&lt;&gt;"",$R162,$D162),IF($Q162&lt;&gt;"",MAX($M$5,$Q162)+$E162*(1-$S162)/24,MAX($M$5,$C162)+$E162/24)))</f>
        <v>46312.0833333333</v>
      </c>
      <c r="X162" s="4" t="n">
        <f aca="false">IF($B162="","",ROUND(($W162-$D162)*24,1))</f>
        <v>0</v>
      </c>
      <c r="Y162" s="4" t="n">
        <f aca="false">IF($B162="","",IF($Q162&lt;&gt;"",$X162,IF($X162&gt;0,MAX($X162,IF($Y161="",0,IF($Y161&gt;0,$Y161-MAX(0,($C162-$D161)*24),$Y161))),IF($Y161="",0,IF($Y161&gt;0,$Y161-MAX(0,($C162-$D161)*24),$Y161)))))</f>
        <v>18</v>
      </c>
      <c r="AB162" s="4" t="n">
        <f aca="false">IF(AND($B162&lt;&gt;"",$F162&gt;=16),1,0)</f>
        <v>0</v>
      </c>
    </row>
    <row r="163" customFormat="false" ht="19.5" hidden="false" customHeight="true" outlineLevel="0" collapsed="false">
      <c r="A163" s="85" t="n">
        <f aca="false">IF(OR($B163="",17&gt;$O$10),"",17)</f>
        <v>17</v>
      </c>
      <c r="B163" s="86" t="s">
        <v>115</v>
      </c>
      <c r="C163" s="87" t="n">
        <f aca="true">IF(OR($B163="",17&gt;$O$10),"",IF($F163=0,$C$8,IF($G163="SS",OFFSET($C$146,$F163,0)+$H163/24,IF($G163="FF",OFFSET($D$146,$F163,0)+$H163/24-$E163/24,IF($G163="SF",OFFSET($C$146,$F163,0)+$H163/24-$E163/24,OFFSET($D$146,$F163,0)+$H163/24)))))</f>
        <v>46312.0833333333</v>
      </c>
      <c r="D163" s="87" t="n">
        <f aca="false">IF(OR($B163="",17&gt;$O$10),"",$C163+$E163/24)</f>
        <v>46312.125</v>
      </c>
      <c r="E163" s="88" t="n">
        <v>1</v>
      </c>
      <c r="F163" s="89" t="n">
        <v>16</v>
      </c>
      <c r="G163" s="90" t="s">
        <v>49</v>
      </c>
      <c r="H163" s="91" t="n">
        <v>0</v>
      </c>
      <c r="I163" s="92"/>
      <c r="J163" s="93"/>
      <c r="K163" s="92"/>
      <c r="L163" s="93"/>
      <c r="M163" s="94" t="str">
        <f aca="false">IF(OR($Q163="",$R163="",$V163=1),"",($R163-$Q163)*24)</f>
        <v/>
      </c>
      <c r="N163" s="95"/>
      <c r="O163" s="96" t="str">
        <f aca="false">IF(OR($B163="",17&gt;$O$10),"",IF($AB163=1,"! CHECK LINK",IF($V163=1,"! CHECK DATES",IF($S163=1,IF($R163="","Completed",IF($R163&lt;$D163,"Completed - Ahead",IF($R163&lt;=$D163+1/1440,"Completed - On Time","Completed - Delayed"))),IF($Q163&lt;&gt;"",IF($Y163&lt;=0.1,"In Progress - On Track","In Progress - BEHIND"),IF($M$5&lt;$C163,"Not Started","NOT STARTED - LATE"))))))</f>
        <v>Not Started</v>
      </c>
      <c r="P163" s="97"/>
      <c r="Q163" s="0" t="str">
        <f aca="false">IF($I163="","",$I163+IF($J163="",0,$J163))</f>
        <v/>
      </c>
      <c r="R163" s="0" t="str">
        <f aca="false">IF($K163="","",$K163+IF($L163="",0,$L163))</f>
        <v/>
      </c>
      <c r="S163" s="4" t="n">
        <f aca="false">IF($V163=1,0,IF($R163&lt;&gt;"",1,IF($N163="",0,$N163)))</f>
        <v>0</v>
      </c>
      <c r="T163" s="4" t="n">
        <f aca="false">IF(OR($B163="",$E163=0),0,MEDIAN(0,($M$5-$C163)/($E163/24),1))</f>
        <v>0</v>
      </c>
      <c r="U163" s="4" t="n">
        <f aca="false">($S163-$T163)*$E163</f>
        <v>0</v>
      </c>
      <c r="V163" s="4" t="n">
        <f aca="false">IF(OR(AND($Q163&lt;&gt;"",$Q163&lt;$C$8),AND($Q163&lt;&gt;"",$R163&lt;&gt;"",$R163&lt;$Q163),AND($R163&lt;&gt;"",$Q163="")),1,0)</f>
        <v>0</v>
      </c>
      <c r="W163" s="98" t="n">
        <f aca="false">IF($B163="","",IF($S163=1,IF($R163&lt;&gt;"",$R163,$D163),IF($Q163&lt;&gt;"",MAX($M$5,$Q163)+$E163*(1-$S163)/24,MAX($M$5,$C163)+$E163/24)))</f>
        <v>46312.125</v>
      </c>
      <c r="X163" s="4" t="n">
        <f aca="false">IF($B163="","",ROUND(($W163-$D163)*24,1))</f>
        <v>0</v>
      </c>
      <c r="Y163" s="4" t="n">
        <f aca="false">IF($B163="","",IF($Q163&lt;&gt;"",$X163,IF($X163&gt;0,MAX($X163,IF($Y162="",0,IF($Y162&gt;0,$Y162-MAX(0,($C163-$D162)*24),$Y162))),IF($Y162="",0,IF($Y162&gt;0,$Y162-MAX(0,($C163-$D162)*24),$Y162)))))</f>
        <v>18</v>
      </c>
      <c r="AB163" s="4" t="n">
        <f aca="false">IF(AND($B163&lt;&gt;"",$F163&gt;=17),1,0)</f>
        <v>0</v>
      </c>
    </row>
    <row r="164" customFormat="false" ht="19.5" hidden="false" customHeight="true" outlineLevel="0" collapsed="false">
      <c r="A164" s="85" t="n">
        <f aca="false">IF(OR($B164="",18&gt;$O$10),"",18)</f>
        <v>18</v>
      </c>
      <c r="B164" s="86" t="s">
        <v>132</v>
      </c>
      <c r="C164" s="87" t="n">
        <f aca="true">IF(OR($B164="",18&gt;$O$10),"",IF($F164=0,$C$8,IF($G164="SS",OFFSET($C$146,$F164,0)+$H164/24,IF($G164="FF",OFFSET($D$146,$F164,0)+$H164/24-$E164/24,IF($G164="SF",OFFSET($C$146,$F164,0)+$H164/24-$E164/24,OFFSET($D$146,$F164,0)+$H164/24)))))</f>
        <v>46312.125</v>
      </c>
      <c r="D164" s="87" t="n">
        <f aca="false">IF(OR($B164="",18&gt;$O$10),"",$C164+$E164/24)</f>
        <v>46312.2083333333</v>
      </c>
      <c r="E164" s="88" t="n">
        <v>2</v>
      </c>
      <c r="F164" s="89" t="n">
        <v>17</v>
      </c>
      <c r="G164" s="90" t="s">
        <v>49</v>
      </c>
      <c r="H164" s="91" t="n">
        <v>0</v>
      </c>
      <c r="I164" s="92"/>
      <c r="J164" s="93"/>
      <c r="K164" s="92"/>
      <c r="L164" s="93"/>
      <c r="M164" s="94" t="str">
        <f aca="false">IF(OR($Q164="",$R164="",$V164=1),"",($R164-$Q164)*24)</f>
        <v/>
      </c>
      <c r="N164" s="95"/>
      <c r="O164" s="96" t="str">
        <f aca="false">IF(OR($B164="",18&gt;$O$10),"",IF($AB164=1,"! CHECK LINK",IF($V164=1,"! CHECK DATES",IF($S164=1,IF($R164="","Completed",IF($R164&lt;$D164,"Completed - Ahead",IF($R164&lt;=$D164+1/1440,"Completed - On Time","Completed - Delayed"))),IF($Q164&lt;&gt;"",IF($Y164&lt;=0.1,"In Progress - On Track","In Progress - BEHIND"),IF($M$5&lt;$C164,"Not Started","NOT STARTED - LATE"))))))</f>
        <v>Not Started</v>
      </c>
      <c r="P164" s="97"/>
      <c r="Q164" s="0" t="str">
        <f aca="false">IF($I164="","",$I164+IF($J164="",0,$J164))</f>
        <v/>
      </c>
      <c r="R164" s="0" t="str">
        <f aca="false">IF($K164="","",$K164+IF($L164="",0,$L164))</f>
        <v/>
      </c>
      <c r="S164" s="4" t="n">
        <f aca="false">IF($V164=1,0,IF($R164&lt;&gt;"",1,IF($N164="",0,$N164)))</f>
        <v>0</v>
      </c>
      <c r="T164" s="4" t="n">
        <f aca="false">IF(OR($B164="",$E164=0),0,MEDIAN(0,($M$5-$C164)/($E164/24),1))</f>
        <v>0</v>
      </c>
      <c r="U164" s="4" t="n">
        <f aca="false">($S164-$T164)*$E164</f>
        <v>0</v>
      </c>
      <c r="V164" s="4" t="n">
        <f aca="false">IF(OR(AND($Q164&lt;&gt;"",$Q164&lt;$C$8),AND($Q164&lt;&gt;"",$R164&lt;&gt;"",$R164&lt;$Q164),AND($R164&lt;&gt;"",$Q164="")),1,0)</f>
        <v>0</v>
      </c>
      <c r="W164" s="98" t="n">
        <f aca="false">IF($B164="","",IF($S164=1,IF($R164&lt;&gt;"",$R164,$D164),IF($Q164&lt;&gt;"",MAX($M$5,$Q164)+$E164*(1-$S164)/24,MAX($M$5,$C164)+$E164/24)))</f>
        <v>46312.2083333333</v>
      </c>
      <c r="X164" s="4" t="n">
        <f aca="false">IF($B164="","",ROUND(($W164-$D164)*24,1))</f>
        <v>0</v>
      </c>
      <c r="Y164" s="4" t="n">
        <f aca="false">IF($B164="","",IF($Q164&lt;&gt;"",$X164,IF($X164&gt;0,MAX($X164,IF($Y163="",0,IF($Y163&gt;0,$Y163-MAX(0,($C164-$D163)*24),$Y163))),IF($Y163="",0,IF($Y163&gt;0,$Y163-MAX(0,($C164-$D163)*24),$Y163)))))</f>
        <v>18</v>
      </c>
      <c r="AB164" s="4" t="n">
        <f aca="false">IF(AND($B164&lt;&gt;"",$F164&gt;=18),1,0)</f>
        <v>0</v>
      </c>
    </row>
    <row r="165" customFormat="false" ht="19.5" hidden="false" customHeight="true" outlineLevel="0" collapsed="false">
      <c r="A165" s="85" t="n">
        <f aca="false">IF(OR($B165="",19&gt;$O$10),"",19)</f>
        <v>19</v>
      </c>
      <c r="B165" s="86" t="s">
        <v>117</v>
      </c>
      <c r="C165" s="87" t="n">
        <f aca="true">IF(OR($B165="",19&gt;$O$10),"",IF($F165=0,$C$8,IF($G165="SS",OFFSET($C$146,$F165,0)+$H165/24,IF($G165="FF",OFFSET($D$146,$F165,0)+$H165/24-$E165/24,IF($G165="SF",OFFSET($C$146,$F165,0)+$H165/24-$E165/24,OFFSET($D$146,$F165,0)+$H165/24)))))</f>
        <v>46312.2083333333</v>
      </c>
      <c r="D165" s="87" t="n">
        <f aca="false">IF(OR($B165="",19&gt;$O$10),"",$C165+$E165/24)</f>
        <v>46312.2916666667</v>
      </c>
      <c r="E165" s="88" t="n">
        <v>2</v>
      </c>
      <c r="F165" s="89" t="n">
        <v>18</v>
      </c>
      <c r="G165" s="90" t="s">
        <v>49</v>
      </c>
      <c r="H165" s="91" t="n">
        <v>0</v>
      </c>
      <c r="I165" s="92"/>
      <c r="J165" s="93"/>
      <c r="K165" s="92"/>
      <c r="L165" s="93"/>
      <c r="M165" s="94" t="str">
        <f aca="false">IF(OR($Q165="",$R165="",$V165=1),"",($R165-$Q165)*24)</f>
        <v/>
      </c>
      <c r="N165" s="95"/>
      <c r="O165" s="96" t="str">
        <f aca="false">IF(OR($B165="",19&gt;$O$10),"",IF($AB165=1,"! CHECK LINK",IF($V165=1,"! CHECK DATES",IF($S165=1,IF($R165="","Completed",IF($R165&lt;$D165,"Completed - Ahead",IF($R165&lt;=$D165+1/1440,"Completed - On Time","Completed - Delayed"))),IF($Q165&lt;&gt;"",IF($Y165&lt;=0.1,"In Progress - On Track","In Progress - BEHIND"),IF($M$5&lt;$C165,"Not Started","NOT STARTED - LATE"))))))</f>
        <v>Not Started</v>
      </c>
      <c r="P165" s="97"/>
      <c r="Q165" s="0" t="str">
        <f aca="false">IF($I165="","",$I165+IF($J165="",0,$J165))</f>
        <v/>
      </c>
      <c r="R165" s="0" t="str">
        <f aca="false">IF($K165="","",$K165+IF($L165="",0,$L165))</f>
        <v/>
      </c>
      <c r="S165" s="4" t="n">
        <f aca="false">IF($V165=1,0,IF($R165&lt;&gt;"",1,IF($N165="",0,$N165)))</f>
        <v>0</v>
      </c>
      <c r="T165" s="4" t="n">
        <f aca="false">IF(OR($B165="",$E165=0),0,MEDIAN(0,($M$5-$C165)/($E165/24),1))</f>
        <v>0</v>
      </c>
      <c r="U165" s="4" t="n">
        <f aca="false">($S165-$T165)*$E165</f>
        <v>0</v>
      </c>
      <c r="V165" s="4" t="n">
        <f aca="false">IF(OR(AND($Q165&lt;&gt;"",$Q165&lt;$C$8),AND($Q165&lt;&gt;"",$R165&lt;&gt;"",$R165&lt;$Q165),AND($R165&lt;&gt;"",$Q165="")),1,0)</f>
        <v>0</v>
      </c>
      <c r="W165" s="98" t="n">
        <f aca="false">IF($B165="","",IF($S165=1,IF($R165&lt;&gt;"",$R165,$D165),IF($Q165&lt;&gt;"",MAX($M$5,$Q165)+$E165*(1-$S165)/24,MAX($M$5,$C165)+$E165/24)))</f>
        <v>46312.2916666667</v>
      </c>
      <c r="X165" s="4" t="n">
        <f aca="false">IF($B165="","",ROUND(($W165-$D165)*24,1))</f>
        <v>0</v>
      </c>
      <c r="Y165" s="4" t="n">
        <f aca="false">IF($B165="","",IF($Q165&lt;&gt;"",$X165,IF($X165&gt;0,MAX($X165,IF($Y164="",0,IF($Y164&gt;0,$Y164-MAX(0,($C165-$D164)*24),$Y164))),IF($Y164="",0,IF($Y164&gt;0,$Y164-MAX(0,($C165-$D164)*24),$Y164)))))</f>
        <v>18</v>
      </c>
      <c r="AB165" s="4" t="n">
        <f aca="false">IF(AND($B165&lt;&gt;"",$F165&gt;=19),1,0)</f>
        <v>0</v>
      </c>
    </row>
    <row r="166" customFormat="false" ht="19.5" hidden="false" customHeight="true" outlineLevel="0" collapsed="false">
      <c r="A166" s="85" t="n">
        <f aca="false">IF(OR($B166="",20&gt;$O$10),"",20)</f>
        <v>20</v>
      </c>
      <c r="B166" s="86" t="s">
        <v>118</v>
      </c>
      <c r="C166" s="87" t="n">
        <f aca="true">IF(OR($B166="",20&gt;$O$10),"",IF($F166=0,$C$8,IF($G166="SS",OFFSET($C$146,$F166,0)+$H166/24,IF($G166="FF",OFFSET($D$146,$F166,0)+$H166/24-$E166/24,IF($G166="SF",OFFSET($C$146,$F166,0)+$H166/24-$E166/24,OFFSET($D$146,$F166,0)+$H166/24)))))</f>
        <v>46312.2916666667</v>
      </c>
      <c r="D166" s="87" t="n">
        <f aca="false">IF(OR($B166="",20&gt;$O$10),"",$C166+$E166/24)</f>
        <v>46312.375</v>
      </c>
      <c r="E166" s="88" t="n">
        <v>2</v>
      </c>
      <c r="F166" s="89" t="n">
        <v>19</v>
      </c>
      <c r="G166" s="90" t="s">
        <v>49</v>
      </c>
      <c r="H166" s="91" t="n">
        <v>0</v>
      </c>
      <c r="I166" s="92"/>
      <c r="J166" s="93"/>
      <c r="K166" s="92"/>
      <c r="L166" s="93"/>
      <c r="M166" s="94" t="str">
        <f aca="false">IF(OR($Q166="",$R166="",$V166=1),"",($R166-$Q166)*24)</f>
        <v/>
      </c>
      <c r="N166" s="95"/>
      <c r="O166" s="96" t="str">
        <f aca="false">IF(OR($B166="",20&gt;$O$10),"",IF($AB166=1,"! CHECK LINK",IF($V166=1,"! CHECK DATES",IF($S166=1,IF($R166="","Completed",IF($R166&lt;$D166,"Completed - Ahead",IF($R166&lt;=$D166+1/1440,"Completed - On Time","Completed - Delayed"))),IF($Q166&lt;&gt;"",IF($Y166&lt;=0.1,"In Progress - On Track","In Progress - BEHIND"),IF($M$5&lt;$C166,"Not Started","NOT STARTED - LATE"))))))</f>
        <v>Not Started</v>
      </c>
      <c r="P166" s="97"/>
      <c r="Q166" s="0" t="str">
        <f aca="false">IF($I166="","",$I166+IF($J166="",0,$J166))</f>
        <v/>
      </c>
      <c r="R166" s="0" t="str">
        <f aca="false">IF($K166="","",$K166+IF($L166="",0,$L166))</f>
        <v/>
      </c>
      <c r="S166" s="4" t="n">
        <f aca="false">IF($V166=1,0,IF($R166&lt;&gt;"",1,IF($N166="",0,$N166)))</f>
        <v>0</v>
      </c>
      <c r="T166" s="4" t="n">
        <f aca="false">IF(OR($B166="",$E166=0),0,MEDIAN(0,($M$5-$C166)/($E166/24),1))</f>
        <v>0</v>
      </c>
      <c r="U166" s="4" t="n">
        <f aca="false">($S166-$T166)*$E166</f>
        <v>0</v>
      </c>
      <c r="V166" s="4" t="n">
        <f aca="false">IF(OR(AND($Q166&lt;&gt;"",$Q166&lt;$C$8),AND($Q166&lt;&gt;"",$R166&lt;&gt;"",$R166&lt;$Q166),AND($R166&lt;&gt;"",$Q166="")),1,0)</f>
        <v>0</v>
      </c>
      <c r="W166" s="98" t="n">
        <f aca="false">IF($B166="","",IF($S166=1,IF($R166&lt;&gt;"",$R166,$D166),IF($Q166&lt;&gt;"",MAX($M$5,$Q166)+$E166*(1-$S166)/24,MAX($M$5,$C166)+$E166/24)))</f>
        <v>46312.375</v>
      </c>
      <c r="X166" s="4" t="n">
        <f aca="false">IF($B166="","",ROUND(($W166-$D166)*24,1))</f>
        <v>0</v>
      </c>
      <c r="Y166" s="4" t="n">
        <f aca="false">IF($B166="","",IF($Q166&lt;&gt;"",$X166,IF($X166&gt;0,MAX($X166,IF($Y165="",0,IF($Y165&gt;0,$Y165-MAX(0,($C166-$D165)*24),$Y165))),IF($Y165="",0,IF($Y165&gt;0,$Y165-MAX(0,($C166-$D165)*24),$Y165)))))</f>
        <v>18</v>
      </c>
      <c r="AB166" s="4" t="n">
        <f aca="false">IF(AND($B166&lt;&gt;"",$F166&gt;=20),1,0)</f>
        <v>0</v>
      </c>
    </row>
    <row r="167" customFormat="false" ht="19.5" hidden="false" customHeight="true" outlineLevel="0" collapsed="false">
      <c r="A167" s="85" t="n">
        <f aca="false">IF(OR($B167="",21&gt;$O$10),"",21)</f>
        <v>21</v>
      </c>
      <c r="B167" s="86" t="s">
        <v>119</v>
      </c>
      <c r="C167" s="87" t="n">
        <f aca="true">IF(OR($B167="",21&gt;$O$10),"",IF($F167=0,$C$8,IF($G167="SS",OFFSET($C$146,$F167,0)+$H167/24,IF($G167="FF",OFFSET($D$146,$F167,0)+$H167/24-$E167/24,IF($G167="SF",OFFSET($C$146,$F167,0)+$H167/24-$E167/24,OFFSET($D$146,$F167,0)+$H167/24)))))</f>
        <v>46312.375</v>
      </c>
      <c r="D167" s="87" t="n">
        <f aca="false">IF(OR($B167="",21&gt;$O$10),"",$C167+$E167/24)</f>
        <v>46312.4166666667</v>
      </c>
      <c r="E167" s="88" t="n">
        <v>1</v>
      </c>
      <c r="F167" s="89" t="n">
        <v>20</v>
      </c>
      <c r="G167" s="90" t="s">
        <v>49</v>
      </c>
      <c r="H167" s="91" t="n">
        <v>0</v>
      </c>
      <c r="I167" s="92"/>
      <c r="J167" s="93"/>
      <c r="K167" s="92"/>
      <c r="L167" s="93"/>
      <c r="M167" s="94" t="str">
        <f aca="false">IF(OR($Q167="",$R167="",$V167=1),"",($R167-$Q167)*24)</f>
        <v/>
      </c>
      <c r="N167" s="95"/>
      <c r="O167" s="96" t="str">
        <f aca="false">IF(OR($B167="",21&gt;$O$10),"",IF($AB167=1,"! CHECK LINK",IF($V167=1,"! CHECK DATES",IF($S167=1,IF($R167="","Completed",IF($R167&lt;$D167,"Completed - Ahead",IF($R167&lt;=$D167+1/1440,"Completed - On Time","Completed - Delayed"))),IF($Q167&lt;&gt;"",IF($Y167&lt;=0.1,"In Progress - On Track","In Progress - BEHIND"),IF($M$5&lt;$C167,"Not Started","NOT STARTED - LATE"))))))</f>
        <v>Not Started</v>
      </c>
      <c r="P167" s="97"/>
      <c r="Q167" s="0" t="str">
        <f aca="false">IF($I167="","",$I167+IF($J167="",0,$J167))</f>
        <v/>
      </c>
      <c r="R167" s="0" t="str">
        <f aca="false">IF($K167="","",$K167+IF($L167="",0,$L167))</f>
        <v/>
      </c>
      <c r="S167" s="4" t="n">
        <f aca="false">IF($V167=1,0,IF($R167&lt;&gt;"",1,IF($N167="",0,$N167)))</f>
        <v>0</v>
      </c>
      <c r="T167" s="4" t="n">
        <f aca="false">IF(OR($B167="",$E167=0),0,MEDIAN(0,($M$5-$C167)/($E167/24),1))</f>
        <v>0</v>
      </c>
      <c r="U167" s="4" t="n">
        <f aca="false">($S167-$T167)*$E167</f>
        <v>0</v>
      </c>
      <c r="V167" s="4" t="n">
        <f aca="false">IF(OR(AND($Q167&lt;&gt;"",$Q167&lt;$C$8),AND($Q167&lt;&gt;"",$R167&lt;&gt;"",$R167&lt;$Q167),AND($R167&lt;&gt;"",$Q167="")),1,0)</f>
        <v>0</v>
      </c>
      <c r="W167" s="98" t="n">
        <f aca="false">IF($B167="","",IF($S167=1,IF($R167&lt;&gt;"",$R167,$D167),IF($Q167&lt;&gt;"",MAX($M$5,$Q167)+$E167*(1-$S167)/24,MAX($M$5,$C167)+$E167/24)))</f>
        <v>46312.4166666667</v>
      </c>
      <c r="X167" s="4" t="n">
        <f aca="false">IF($B167="","",ROUND(($W167-$D167)*24,1))</f>
        <v>0</v>
      </c>
      <c r="Y167" s="4" t="n">
        <f aca="false">IF($B167="","",IF($Q167&lt;&gt;"",$X167,IF($X167&gt;0,MAX($X167,IF($Y166="",0,IF($Y166&gt;0,$Y166-MAX(0,($C167-$D166)*24),$Y166))),IF($Y166="",0,IF($Y166&gt;0,$Y166-MAX(0,($C167-$D166)*24),$Y166)))))</f>
        <v>18</v>
      </c>
      <c r="AB167" s="4" t="n">
        <f aca="false">IF(AND($B167&lt;&gt;"",$F167&gt;=21),1,0)</f>
        <v>0</v>
      </c>
    </row>
    <row r="168" customFormat="false" ht="19.5" hidden="false" customHeight="true" outlineLevel="0" collapsed="false">
      <c r="A168" s="85" t="n">
        <f aca="false">IF(OR($B168="",22&gt;$O$10),"",22)</f>
        <v>22</v>
      </c>
      <c r="B168" s="86" t="s">
        <v>120</v>
      </c>
      <c r="C168" s="87" t="n">
        <f aca="true">IF(OR($B168="",22&gt;$O$10),"",IF($F168=0,$C$8,IF($G168="SS",OFFSET($C$146,$F168,0)+$H168/24,IF($G168="FF",OFFSET($D$146,$F168,0)+$H168/24-$E168/24,IF($G168="SF",OFFSET($C$146,$F168,0)+$H168/24-$E168/24,OFFSET($D$146,$F168,0)+$H168/24)))))</f>
        <v>46312.4166666667</v>
      </c>
      <c r="D168" s="87" t="n">
        <f aca="false">IF(OR($B168="",22&gt;$O$10),"",$C168+$E168/24)</f>
        <v>46312.4583333333</v>
      </c>
      <c r="E168" s="88" t="n">
        <v>1</v>
      </c>
      <c r="F168" s="89" t="n">
        <v>21</v>
      </c>
      <c r="G168" s="90" t="s">
        <v>49</v>
      </c>
      <c r="H168" s="91" t="n">
        <v>0</v>
      </c>
      <c r="I168" s="92"/>
      <c r="J168" s="93"/>
      <c r="K168" s="92"/>
      <c r="L168" s="93"/>
      <c r="M168" s="94" t="str">
        <f aca="false">IF(OR($Q168="",$R168="",$V168=1),"",($R168-$Q168)*24)</f>
        <v/>
      </c>
      <c r="N168" s="95"/>
      <c r="O168" s="96" t="str">
        <f aca="false">IF(OR($B168="",22&gt;$O$10),"",IF($AB168=1,"! CHECK LINK",IF($V168=1,"! CHECK DATES",IF($S168=1,IF($R168="","Completed",IF($R168&lt;$D168,"Completed - Ahead",IF($R168&lt;=$D168+1/1440,"Completed - On Time","Completed - Delayed"))),IF($Q168&lt;&gt;"",IF($Y168&lt;=0.1,"In Progress - On Track","In Progress - BEHIND"),IF($M$5&lt;$C168,"Not Started","NOT STARTED - LATE"))))))</f>
        <v>Not Started</v>
      </c>
      <c r="P168" s="97"/>
      <c r="Q168" s="0" t="str">
        <f aca="false">IF($I168="","",$I168+IF($J168="",0,$J168))</f>
        <v/>
      </c>
      <c r="R168" s="0" t="str">
        <f aca="false">IF($K168="","",$K168+IF($L168="",0,$L168))</f>
        <v/>
      </c>
      <c r="S168" s="4" t="n">
        <f aca="false">IF($V168=1,0,IF($R168&lt;&gt;"",1,IF($N168="",0,$N168)))</f>
        <v>0</v>
      </c>
      <c r="T168" s="4" t="n">
        <f aca="false">IF(OR($B168="",$E168=0),0,MEDIAN(0,($M$5-$C168)/($E168/24),1))</f>
        <v>0</v>
      </c>
      <c r="U168" s="4" t="n">
        <f aca="false">($S168-$T168)*$E168</f>
        <v>0</v>
      </c>
      <c r="V168" s="4" t="n">
        <f aca="false">IF(OR(AND($Q168&lt;&gt;"",$Q168&lt;$C$8),AND($Q168&lt;&gt;"",$R168&lt;&gt;"",$R168&lt;$Q168),AND($R168&lt;&gt;"",$Q168="")),1,0)</f>
        <v>0</v>
      </c>
      <c r="W168" s="98" t="n">
        <f aca="false">IF($B168="","",IF($S168=1,IF($R168&lt;&gt;"",$R168,$D168),IF($Q168&lt;&gt;"",MAX($M$5,$Q168)+$E168*(1-$S168)/24,MAX($M$5,$C168)+$E168/24)))</f>
        <v>46312.4583333333</v>
      </c>
      <c r="X168" s="4" t="n">
        <f aca="false">IF($B168="","",ROUND(($W168-$D168)*24,1))</f>
        <v>0</v>
      </c>
      <c r="Y168" s="4" t="n">
        <f aca="false">IF($B168="","",IF($Q168&lt;&gt;"",$X168,IF($X168&gt;0,MAX($X168,IF($Y167="",0,IF($Y167&gt;0,$Y167-MAX(0,($C168-$D167)*24),$Y167))),IF($Y167="",0,IF($Y167&gt;0,$Y167-MAX(0,($C168-$D167)*24),$Y167)))))</f>
        <v>18</v>
      </c>
      <c r="AB168" s="4" t="n">
        <f aca="false">IF(AND($B168&lt;&gt;"",$F168&gt;=22),1,0)</f>
        <v>0</v>
      </c>
    </row>
    <row r="169" customFormat="false" ht="19.5" hidden="false" customHeight="true" outlineLevel="0" collapsed="false">
      <c r="A169" s="85" t="n">
        <f aca="false">IF(OR($B169="",23&gt;$O$10),"",23)</f>
        <v>23</v>
      </c>
      <c r="B169" s="86" t="s">
        <v>133</v>
      </c>
      <c r="C169" s="87" t="n">
        <f aca="true">IF(OR($B169="",23&gt;$O$10),"",IF($F169=0,$C$8,IF($G169="SS",OFFSET($C$146,$F169,0)+$H169/24,IF($G169="FF",OFFSET($D$146,$F169,0)+$H169/24-$E169/24,IF($G169="SF",OFFSET($C$146,$F169,0)+$H169/24-$E169/24,OFFSET($D$146,$F169,0)+$H169/24)))))</f>
        <v>46312.4583333333</v>
      </c>
      <c r="D169" s="87" t="n">
        <f aca="false">IF(OR($B169="",23&gt;$O$10),"",$C169+$E169/24)</f>
        <v>46312.5416666667</v>
      </c>
      <c r="E169" s="88" t="n">
        <v>2</v>
      </c>
      <c r="F169" s="89" t="n">
        <v>22</v>
      </c>
      <c r="G169" s="90" t="s">
        <v>49</v>
      </c>
      <c r="H169" s="91" t="n">
        <v>0</v>
      </c>
      <c r="I169" s="92"/>
      <c r="J169" s="93"/>
      <c r="K169" s="92"/>
      <c r="L169" s="93"/>
      <c r="M169" s="94" t="str">
        <f aca="false">IF(OR($Q169="",$R169="",$V169=1),"",($R169-$Q169)*24)</f>
        <v/>
      </c>
      <c r="N169" s="95"/>
      <c r="O169" s="96" t="str">
        <f aca="false">IF(OR($B169="",23&gt;$O$10),"",IF($AB169=1,"! CHECK LINK",IF($V169=1,"! CHECK DATES",IF($S169=1,IF($R169="","Completed",IF($R169&lt;$D169,"Completed - Ahead",IF($R169&lt;=$D169+1/1440,"Completed - On Time","Completed - Delayed"))),IF($Q169&lt;&gt;"",IF($Y169&lt;=0.1,"In Progress - On Track","In Progress - BEHIND"),IF($M$5&lt;$C169,"Not Started","NOT STARTED - LATE"))))))</f>
        <v>Not Started</v>
      </c>
      <c r="P169" s="97"/>
      <c r="Q169" s="0" t="str">
        <f aca="false">IF($I169="","",$I169+IF($J169="",0,$J169))</f>
        <v/>
      </c>
      <c r="R169" s="0" t="str">
        <f aca="false">IF($K169="","",$K169+IF($L169="",0,$L169))</f>
        <v/>
      </c>
      <c r="S169" s="4" t="n">
        <f aca="false">IF($V169=1,0,IF($R169&lt;&gt;"",1,IF($N169="",0,$N169)))</f>
        <v>0</v>
      </c>
      <c r="T169" s="4" t="n">
        <f aca="false">IF(OR($B169="",$E169=0),0,MEDIAN(0,($M$5-$C169)/($E169/24),1))</f>
        <v>0</v>
      </c>
      <c r="U169" s="4" t="n">
        <f aca="false">($S169-$T169)*$E169</f>
        <v>0</v>
      </c>
      <c r="V169" s="4" t="n">
        <f aca="false">IF(OR(AND($Q169&lt;&gt;"",$Q169&lt;$C$8),AND($Q169&lt;&gt;"",$R169&lt;&gt;"",$R169&lt;$Q169),AND($R169&lt;&gt;"",$Q169="")),1,0)</f>
        <v>0</v>
      </c>
      <c r="W169" s="98" t="n">
        <f aca="false">IF($B169="","",IF($S169=1,IF($R169&lt;&gt;"",$R169,$D169),IF($Q169&lt;&gt;"",MAX($M$5,$Q169)+$E169*(1-$S169)/24,MAX($M$5,$C169)+$E169/24)))</f>
        <v>46312.5416666667</v>
      </c>
      <c r="X169" s="4" t="n">
        <f aca="false">IF($B169="","",ROUND(($W169-$D169)*24,1))</f>
        <v>0</v>
      </c>
      <c r="Y169" s="4" t="n">
        <f aca="false">IF($B169="","",IF($Q169&lt;&gt;"",$X169,IF($X169&gt;0,MAX($X169,IF($Y168="",0,IF($Y168&gt;0,$Y168-MAX(0,($C169-$D168)*24),$Y168))),IF($Y168="",0,IF($Y168&gt;0,$Y168-MAX(0,($C169-$D168)*24),$Y168)))))</f>
        <v>18</v>
      </c>
      <c r="AB169" s="4" t="n">
        <f aca="false">IF(AND($B169&lt;&gt;"",$F169&gt;=23),1,0)</f>
        <v>0</v>
      </c>
    </row>
    <row r="170" customFormat="false" ht="19.5" hidden="false" customHeight="true" outlineLevel="0" collapsed="false">
      <c r="A170" s="85" t="n">
        <f aca="false">IF(OR($B170="",24&gt;$O$10),"",24)</f>
        <v>24</v>
      </c>
      <c r="B170" s="86" t="s">
        <v>122</v>
      </c>
      <c r="C170" s="87" t="n">
        <f aca="true">IF(OR($B170="",24&gt;$O$10),"",IF($F170=0,$C$8,IF($G170="SS",OFFSET($C$146,$F170,0)+$H170/24,IF($G170="FF",OFFSET($D$146,$F170,0)+$H170/24-$E170/24,IF($G170="SF",OFFSET($C$146,$F170,0)+$H170/24-$E170/24,OFFSET($D$146,$F170,0)+$H170/24)))))</f>
        <v>46312.5416666667</v>
      </c>
      <c r="D170" s="87" t="n">
        <f aca="false">IF(OR($B170="",24&gt;$O$10),"",$C170+$E170/24)</f>
        <v>46312.7083333333</v>
      </c>
      <c r="E170" s="88" t="n">
        <v>4</v>
      </c>
      <c r="F170" s="89" t="n">
        <v>23</v>
      </c>
      <c r="G170" s="90" t="s">
        <v>49</v>
      </c>
      <c r="H170" s="91" t="n">
        <v>0</v>
      </c>
      <c r="I170" s="92"/>
      <c r="J170" s="93"/>
      <c r="K170" s="92"/>
      <c r="L170" s="93"/>
      <c r="M170" s="94" t="str">
        <f aca="false">IF(OR($Q170="",$R170="",$V170=1),"",($R170-$Q170)*24)</f>
        <v/>
      </c>
      <c r="N170" s="95"/>
      <c r="O170" s="96" t="str">
        <f aca="false">IF(OR($B170="",24&gt;$O$10),"",IF($AB170=1,"! CHECK LINK",IF($V170=1,"! CHECK DATES",IF($S170=1,IF($R170="","Completed",IF($R170&lt;$D170,"Completed - Ahead",IF($R170&lt;=$D170+1/1440,"Completed - On Time","Completed - Delayed"))),IF($Q170&lt;&gt;"",IF($Y170&lt;=0.1,"In Progress - On Track","In Progress - BEHIND"),IF($M$5&lt;$C170,"Not Started","NOT STARTED - LATE"))))))</f>
        <v>Not Started</v>
      </c>
      <c r="P170" s="97"/>
      <c r="Q170" s="0" t="str">
        <f aca="false">IF($I170="","",$I170+IF($J170="",0,$J170))</f>
        <v/>
      </c>
      <c r="R170" s="0" t="str">
        <f aca="false">IF($K170="","",$K170+IF($L170="",0,$L170))</f>
        <v/>
      </c>
      <c r="S170" s="4" t="n">
        <f aca="false">IF($V170=1,0,IF($R170&lt;&gt;"",1,IF($N170="",0,$N170)))</f>
        <v>0</v>
      </c>
      <c r="T170" s="4" t="n">
        <f aca="false">IF(OR($B170="",$E170=0),0,MEDIAN(0,($M$5-$C170)/($E170/24),1))</f>
        <v>0</v>
      </c>
      <c r="U170" s="4" t="n">
        <f aca="false">($S170-$T170)*$E170</f>
        <v>0</v>
      </c>
      <c r="V170" s="4" t="n">
        <f aca="false">IF(OR(AND($Q170&lt;&gt;"",$Q170&lt;$C$8),AND($Q170&lt;&gt;"",$R170&lt;&gt;"",$R170&lt;$Q170),AND($R170&lt;&gt;"",$Q170="")),1,0)</f>
        <v>0</v>
      </c>
      <c r="W170" s="98" t="n">
        <f aca="false">IF($B170="","",IF($S170=1,IF($R170&lt;&gt;"",$R170,$D170),IF($Q170&lt;&gt;"",MAX($M$5,$Q170)+$E170*(1-$S170)/24,MAX($M$5,$C170)+$E170/24)))</f>
        <v>46312.7083333333</v>
      </c>
      <c r="X170" s="4" t="n">
        <f aca="false">IF($B170="","",ROUND(($W170-$D170)*24,1))</f>
        <v>0</v>
      </c>
      <c r="Y170" s="4" t="n">
        <f aca="false">IF($B170="","",IF($Q170&lt;&gt;"",$X170,IF($X170&gt;0,MAX($X170,IF($Y169="",0,IF($Y169&gt;0,$Y169-MAX(0,($C170-$D169)*24),$Y169))),IF($Y169="",0,IF($Y169&gt;0,$Y169-MAX(0,($C170-$D169)*24),$Y169)))))</f>
        <v>18</v>
      </c>
      <c r="AB170" s="4" t="n">
        <f aca="false">IF(AND($B170&lt;&gt;"",$F170&gt;=24),1,0)</f>
        <v>0</v>
      </c>
    </row>
    <row r="171" customFormat="false" ht="19.5" hidden="false" customHeight="true" outlineLevel="0" collapsed="false">
      <c r="A171" s="85" t="n">
        <f aca="false">IF(OR($B171="",25&gt;$O$10),"",25)</f>
        <v>25</v>
      </c>
      <c r="B171" s="86" t="s">
        <v>123</v>
      </c>
      <c r="C171" s="87" t="n">
        <f aca="true">IF(OR($B171="",25&gt;$O$10),"",IF($F171=0,$C$8,IF($G171="SS",OFFSET($C$146,$F171,0)+$H171/24,IF($G171="FF",OFFSET($D$146,$F171,0)+$H171/24-$E171/24,IF($G171="SF",OFFSET($C$146,$F171,0)+$H171/24-$E171/24,OFFSET($D$146,$F171,0)+$H171/24)))))</f>
        <v>46312.7083333333</v>
      </c>
      <c r="D171" s="87" t="n">
        <f aca="false">IF(OR($B171="",25&gt;$O$10),"",$C171+$E171/24)</f>
        <v>46312.875</v>
      </c>
      <c r="E171" s="88" t="n">
        <v>4</v>
      </c>
      <c r="F171" s="89" t="n">
        <v>24</v>
      </c>
      <c r="G171" s="90" t="s">
        <v>49</v>
      </c>
      <c r="H171" s="91" t="n">
        <v>0</v>
      </c>
      <c r="I171" s="92"/>
      <c r="J171" s="93"/>
      <c r="K171" s="92"/>
      <c r="L171" s="93"/>
      <c r="M171" s="94" t="str">
        <f aca="false">IF(OR($Q171="",$R171="",$V171=1),"",($R171-$Q171)*24)</f>
        <v/>
      </c>
      <c r="N171" s="95"/>
      <c r="O171" s="96" t="str">
        <f aca="false">IF(OR($B171="",25&gt;$O$10),"",IF($AB171=1,"! CHECK LINK",IF($V171=1,"! CHECK DATES",IF($S171=1,IF($R171="","Completed",IF($R171&lt;$D171,"Completed - Ahead",IF($R171&lt;=$D171+1/1440,"Completed - On Time","Completed - Delayed"))),IF($Q171&lt;&gt;"",IF($Y171&lt;=0.1,"In Progress - On Track","In Progress - BEHIND"),IF($M$5&lt;$C171,"Not Started","NOT STARTED - LATE"))))))</f>
        <v>Not Started</v>
      </c>
      <c r="P171" s="97"/>
      <c r="Q171" s="0" t="str">
        <f aca="false">IF($I171="","",$I171+IF($J171="",0,$J171))</f>
        <v/>
      </c>
      <c r="R171" s="0" t="str">
        <f aca="false">IF($K171="","",$K171+IF($L171="",0,$L171))</f>
        <v/>
      </c>
      <c r="S171" s="4" t="n">
        <f aca="false">IF($V171=1,0,IF($R171&lt;&gt;"",1,IF($N171="",0,$N171)))</f>
        <v>0</v>
      </c>
      <c r="T171" s="4" t="n">
        <f aca="false">IF(OR($B171="",$E171=0),0,MEDIAN(0,($M$5-$C171)/($E171/24),1))</f>
        <v>0</v>
      </c>
      <c r="U171" s="4" t="n">
        <f aca="false">($S171-$T171)*$E171</f>
        <v>0</v>
      </c>
      <c r="V171" s="4" t="n">
        <f aca="false">IF(OR(AND($Q171&lt;&gt;"",$Q171&lt;$C$8),AND($Q171&lt;&gt;"",$R171&lt;&gt;"",$R171&lt;$Q171),AND($R171&lt;&gt;"",$Q171="")),1,0)</f>
        <v>0</v>
      </c>
      <c r="W171" s="98" t="n">
        <f aca="false">IF($B171="","",IF($S171=1,IF($R171&lt;&gt;"",$R171,$D171),IF($Q171&lt;&gt;"",MAX($M$5,$Q171)+$E171*(1-$S171)/24,MAX($M$5,$C171)+$E171/24)))</f>
        <v>46312.875</v>
      </c>
      <c r="X171" s="4" t="n">
        <f aca="false">IF($B171="","",ROUND(($W171-$D171)*24,1))</f>
        <v>0</v>
      </c>
      <c r="Y171" s="4" t="n">
        <f aca="false">IF($B171="","",IF($Q171&lt;&gt;"",$X171,IF($X171&gt;0,MAX($X171,IF($Y170="",0,IF($Y170&gt;0,$Y170-MAX(0,($C171-$D170)*24),$Y170))),IF($Y170="",0,IF($Y170&gt;0,$Y170-MAX(0,($C171-$D170)*24),$Y170)))))</f>
        <v>18</v>
      </c>
      <c r="AB171" s="4" t="n">
        <f aca="false">IF(AND($B171&lt;&gt;"",$F171&gt;=25),1,0)</f>
        <v>0</v>
      </c>
    </row>
    <row r="172" customFormat="false" ht="19.5" hidden="false" customHeight="true" outlineLevel="0" collapsed="false">
      <c r="A172" s="85" t="n">
        <f aca="false">IF(OR($B172="",26&gt;$O$10),"",26)</f>
        <v>26</v>
      </c>
      <c r="B172" s="86" t="s">
        <v>124</v>
      </c>
      <c r="C172" s="87" t="n">
        <f aca="true">IF(OR($B172="",26&gt;$O$10),"",IF($F172=0,$C$8,IF($G172="SS",OFFSET($C$146,$F172,0)+$H172/24,IF($G172="FF",OFFSET($D$146,$F172,0)+$H172/24-$E172/24,IF($G172="SF",OFFSET($C$146,$F172,0)+$H172/24-$E172/24,OFFSET($D$146,$F172,0)+$H172/24)))))</f>
        <v>46312.875</v>
      </c>
      <c r="D172" s="87" t="n">
        <f aca="false">IF(OR($B172="",26&gt;$O$10),"",$C172+$E172/24)</f>
        <v>46313.0416666667</v>
      </c>
      <c r="E172" s="88" t="n">
        <v>4</v>
      </c>
      <c r="F172" s="89" t="n">
        <v>25</v>
      </c>
      <c r="G172" s="90" t="s">
        <v>49</v>
      </c>
      <c r="H172" s="91" t="n">
        <v>0</v>
      </c>
      <c r="I172" s="92"/>
      <c r="J172" s="93"/>
      <c r="K172" s="92"/>
      <c r="L172" s="93"/>
      <c r="M172" s="94" t="str">
        <f aca="false">IF(OR($Q172="",$R172="",$V172=1),"",($R172-$Q172)*24)</f>
        <v/>
      </c>
      <c r="N172" s="95"/>
      <c r="O172" s="96" t="str">
        <f aca="false">IF(OR($B172="",26&gt;$O$10),"",IF($AB172=1,"! CHECK LINK",IF($V172=1,"! CHECK DATES",IF($S172=1,IF($R172="","Completed",IF($R172&lt;$D172,"Completed - Ahead",IF($R172&lt;=$D172+1/1440,"Completed - On Time","Completed - Delayed"))),IF($Q172&lt;&gt;"",IF($Y172&lt;=0.1,"In Progress - On Track","In Progress - BEHIND"),IF($M$5&lt;$C172,"Not Started","NOT STARTED - LATE"))))))</f>
        <v>Not Started</v>
      </c>
      <c r="P172" s="97"/>
      <c r="Q172" s="0" t="str">
        <f aca="false">IF($I172="","",$I172+IF($J172="",0,$J172))</f>
        <v/>
      </c>
      <c r="R172" s="0" t="str">
        <f aca="false">IF($K172="","",$K172+IF($L172="",0,$L172))</f>
        <v/>
      </c>
      <c r="S172" s="4" t="n">
        <f aca="false">IF($V172=1,0,IF($R172&lt;&gt;"",1,IF($N172="",0,$N172)))</f>
        <v>0</v>
      </c>
      <c r="T172" s="4" t="n">
        <f aca="false">IF(OR($B172="",$E172=0),0,MEDIAN(0,($M$5-$C172)/($E172/24),1))</f>
        <v>0</v>
      </c>
      <c r="U172" s="4" t="n">
        <f aca="false">($S172-$T172)*$E172</f>
        <v>0</v>
      </c>
      <c r="V172" s="4" t="n">
        <f aca="false">IF(OR(AND($Q172&lt;&gt;"",$Q172&lt;$C$8),AND($Q172&lt;&gt;"",$R172&lt;&gt;"",$R172&lt;$Q172),AND($R172&lt;&gt;"",$Q172="")),1,0)</f>
        <v>0</v>
      </c>
      <c r="W172" s="98" t="n">
        <f aca="false">IF($B172="","",IF($S172=1,IF($R172&lt;&gt;"",$R172,$D172),IF($Q172&lt;&gt;"",MAX($M$5,$Q172)+$E172*(1-$S172)/24,MAX($M$5,$C172)+$E172/24)))</f>
        <v>46313.0416666667</v>
      </c>
      <c r="X172" s="4" t="n">
        <f aca="false">IF($B172="","",ROUND(($W172-$D172)*24,1))</f>
        <v>0</v>
      </c>
      <c r="Y172" s="4" t="n">
        <f aca="false">IF($B172="","",IF($Q172&lt;&gt;"",$X172,IF($X172&gt;0,MAX($X172,IF($Y171="",0,IF($Y171&gt;0,$Y171-MAX(0,($C172-$D171)*24),$Y171))),IF($Y171="",0,IF($Y171&gt;0,$Y171-MAX(0,($C172-$D171)*24),$Y171)))))</f>
        <v>18</v>
      </c>
      <c r="AB172" s="4" t="n">
        <f aca="false">IF(AND($B172&lt;&gt;"",$F172&gt;=26),1,0)</f>
        <v>0</v>
      </c>
    </row>
    <row r="173" customFormat="false" ht="19.5" hidden="false" customHeight="true" outlineLevel="0" collapsed="false">
      <c r="A173" s="99" t="s">
        <v>125</v>
      </c>
      <c r="B173" s="100" t="str">
        <f aca="false">IF($B$19="","",$B$19&amp;"   -   sum of activity hours")</f>
        <v>C289  –  KM 338+491   -   sum of activity hours</v>
      </c>
      <c r="C173" s="50"/>
      <c r="D173" s="101" t="n">
        <f aca="false">IF(COUNT($D147:$D172)=0,"",MAX($D147:$D172))</f>
        <v>46313.0416666667</v>
      </c>
      <c r="E173" s="102" t="n">
        <f aca="false">SUM($E147:$E172)</f>
        <v>51</v>
      </c>
      <c r="F173" s="50"/>
      <c r="G173" s="50"/>
      <c r="H173" s="50"/>
      <c r="I173" s="50"/>
      <c r="J173" s="50"/>
      <c r="K173" s="50"/>
      <c r="L173" s="50"/>
      <c r="M173" s="102" t="n">
        <f aca="false">SUM($M147:$M172)</f>
        <v>0</v>
      </c>
      <c r="N173" s="103" t="n">
        <f aca="false">$S173</f>
        <v>0</v>
      </c>
      <c r="O173" s="99" t="str">
        <f aca="false">IF($B$19="","",IF($X173&lt;=0,"ON TRACK","BEHIND"))</f>
        <v>BEHIND</v>
      </c>
      <c r="P173" s="50"/>
      <c r="S173" s="4" t="n">
        <f aca="false">IF($E173=0,0,SUMPRODUCT($E147:$E172,$S147:$S172)/$E173)</f>
        <v>0</v>
      </c>
      <c r="T173" s="4" t="n">
        <f aca="false">IF($E173=0,0,SUMPRODUCT($E147:$E172,$T147:$T172)/$E173)</f>
        <v>0.392156862745098</v>
      </c>
      <c r="U173" s="4" t="n">
        <f aca="false">$S173-$T173</f>
        <v>-0.392156862745098</v>
      </c>
      <c r="W173" s="98" t="n">
        <f aca="false">IF($D173="","",$D173+$X173/24)</f>
        <v>46313.7916666667</v>
      </c>
      <c r="X173" s="4" t="n">
        <f aca="false">IF(COUNT($Y147:$Y172)=0,0,LOOKUP(9.9E+307,$Y147:$Y172))</f>
        <v>18</v>
      </c>
    </row>
  </sheetData>
  <sheetProtection sheet="true" formatCells="false"/>
  <mergeCells count="52">
    <mergeCell ref="A1:P1"/>
    <mergeCell ref="A2:P2"/>
    <mergeCell ref="A4:B4"/>
    <mergeCell ref="C4:H4"/>
    <mergeCell ref="I4:J4"/>
    <mergeCell ref="K4:P4"/>
    <mergeCell ref="A5:B5"/>
    <mergeCell ref="C5:F5"/>
    <mergeCell ref="G5:H5"/>
    <mergeCell ref="I5:J5"/>
    <mergeCell ref="K5:L5"/>
    <mergeCell ref="M5:P5"/>
    <mergeCell ref="A7:P7"/>
    <mergeCell ref="A8:B8"/>
    <mergeCell ref="C8:D8"/>
    <mergeCell ref="E8:F8"/>
    <mergeCell ref="G8:H8"/>
    <mergeCell ref="I8:J8"/>
    <mergeCell ref="L8:M8"/>
    <mergeCell ref="N8:P8"/>
    <mergeCell ref="A9:B9"/>
    <mergeCell ref="C9:D9"/>
    <mergeCell ref="E9:F9"/>
    <mergeCell ref="G9:H9"/>
    <mergeCell ref="I9:J9"/>
    <mergeCell ref="L9:M9"/>
    <mergeCell ref="N9:P9"/>
    <mergeCell ref="A10:B10"/>
    <mergeCell ref="C10:D10"/>
    <mergeCell ref="E10:F10"/>
    <mergeCell ref="G10:J10"/>
    <mergeCell ref="K10:L10"/>
    <mergeCell ref="O10:P10"/>
    <mergeCell ref="A11:P11"/>
    <mergeCell ref="A13:P13"/>
    <mergeCell ref="B14:H14"/>
    <mergeCell ref="I14:P14"/>
    <mergeCell ref="B15:H15"/>
    <mergeCell ref="I15:P15"/>
    <mergeCell ref="B16:H16"/>
    <mergeCell ref="I16:P16"/>
    <mergeCell ref="B17:H17"/>
    <mergeCell ref="I17:P17"/>
    <mergeCell ref="B18:H18"/>
    <mergeCell ref="I18:P18"/>
    <mergeCell ref="B19:H19"/>
    <mergeCell ref="I19:P19"/>
    <mergeCell ref="A25:P25"/>
    <mergeCell ref="A55:P55"/>
    <mergeCell ref="A85:P85"/>
    <mergeCell ref="A115:P115"/>
    <mergeCell ref="A145:P145"/>
  </mergeCells>
  <conditionalFormatting sqref="O27:O52">
    <cfRule type="expression" priority="2" aboveAverage="0" equalAverage="0" bottom="0" percent="0" rank="0" text="" dxfId="151">
      <formula>COUNTIF($O27,"!*")&gt;0</formula>
    </cfRule>
    <cfRule type="expression" priority="3" aboveAverage="0" equalAverage="0" bottom="0" percent="0" rank="0" text="" dxfId="152">
      <formula>COUNTIF($O27,"Completed*Delayed")&gt;0</formula>
    </cfRule>
    <cfRule type="expression" priority="4" aboveAverage="0" equalAverage="0" bottom="0" percent="0" rank="0" text="" dxfId="153">
      <formula>COUNTIF($O27,"Completed*")&gt;0</formula>
    </cfRule>
    <cfRule type="expression" priority="5" aboveAverage="0" equalAverage="0" bottom="0" percent="0" rank="0" text="" dxfId="154">
      <formula>COUNTIF($O27,"*BEHIND*")&gt;0</formula>
    </cfRule>
    <cfRule type="expression" priority="6" aboveAverage="0" equalAverage="0" bottom="0" percent="0" rank="0" text="" dxfId="155">
      <formula>COUNTIF($O27,"In Progress*")&gt;0</formula>
    </cfRule>
    <cfRule type="expression" priority="7" aboveAverage="0" equalAverage="0" bottom="0" percent="0" rank="0" text="" dxfId="156">
      <formula>COUNTIF($O27,"NOT STARTED - LATE")&gt;0</formula>
    </cfRule>
  </conditionalFormatting>
  <conditionalFormatting sqref="O57:O82">
    <cfRule type="expression" priority="8" aboveAverage="0" equalAverage="0" bottom="0" percent="0" rank="0" text="" dxfId="157">
      <formula>COUNTIF($O57,"!*")&gt;0</formula>
    </cfRule>
    <cfRule type="expression" priority="9" aboveAverage="0" equalAverage="0" bottom="0" percent="0" rank="0" text="" dxfId="158">
      <formula>COUNTIF($O57,"Completed*Delayed")&gt;0</formula>
    </cfRule>
    <cfRule type="expression" priority="10" aboveAverage="0" equalAverage="0" bottom="0" percent="0" rank="0" text="" dxfId="159">
      <formula>COUNTIF($O57,"Completed*")&gt;0</formula>
    </cfRule>
    <cfRule type="expression" priority="11" aboveAverage="0" equalAverage="0" bottom="0" percent="0" rank="0" text="" dxfId="160">
      <formula>COUNTIF($O57,"*BEHIND*")&gt;0</formula>
    </cfRule>
    <cfRule type="expression" priority="12" aboveAverage="0" equalAverage="0" bottom="0" percent="0" rank="0" text="" dxfId="161">
      <formula>COUNTIF($O57,"In Progress*")&gt;0</formula>
    </cfRule>
    <cfRule type="expression" priority="13" aboveAverage="0" equalAverage="0" bottom="0" percent="0" rank="0" text="" dxfId="162">
      <formula>COUNTIF($O57,"NOT STARTED - LATE")&gt;0</formula>
    </cfRule>
  </conditionalFormatting>
  <conditionalFormatting sqref="O87:O112">
    <cfRule type="expression" priority="14" aboveAverage="0" equalAverage="0" bottom="0" percent="0" rank="0" text="" dxfId="163">
      <formula>COUNTIF($O87,"!*")&gt;0</formula>
    </cfRule>
    <cfRule type="expression" priority="15" aboveAverage="0" equalAverage="0" bottom="0" percent="0" rank="0" text="" dxfId="164">
      <formula>COUNTIF($O87,"Completed*Delayed")&gt;0</formula>
    </cfRule>
    <cfRule type="expression" priority="16" aboveAverage="0" equalAverage="0" bottom="0" percent="0" rank="0" text="" dxfId="165">
      <formula>COUNTIF($O87,"Completed*")&gt;0</formula>
    </cfRule>
    <cfRule type="expression" priority="17" aboveAverage="0" equalAverage="0" bottom="0" percent="0" rank="0" text="" dxfId="166">
      <formula>COUNTIF($O87,"*BEHIND*")&gt;0</formula>
    </cfRule>
    <cfRule type="expression" priority="18" aboveAverage="0" equalAverage="0" bottom="0" percent="0" rank="0" text="" dxfId="167">
      <formula>COUNTIF($O87,"In Progress*")&gt;0</formula>
    </cfRule>
    <cfRule type="expression" priority="19" aboveAverage="0" equalAverage="0" bottom="0" percent="0" rank="0" text="" dxfId="168">
      <formula>COUNTIF($O87,"NOT STARTED - LATE")&gt;0</formula>
    </cfRule>
  </conditionalFormatting>
  <conditionalFormatting sqref="O117:O142">
    <cfRule type="expression" priority="20" aboveAverage="0" equalAverage="0" bottom="0" percent="0" rank="0" text="" dxfId="169">
      <formula>COUNTIF($O117,"!*")&gt;0</formula>
    </cfRule>
    <cfRule type="expression" priority="21" aboveAverage="0" equalAverage="0" bottom="0" percent="0" rank="0" text="" dxfId="170">
      <formula>COUNTIF($O117,"Completed*Delayed")&gt;0</formula>
    </cfRule>
    <cfRule type="expression" priority="22" aboveAverage="0" equalAverage="0" bottom="0" percent="0" rank="0" text="" dxfId="171">
      <formula>COUNTIF($O117,"Completed*")&gt;0</formula>
    </cfRule>
    <cfRule type="expression" priority="23" aboveAverage="0" equalAverage="0" bottom="0" percent="0" rank="0" text="" dxfId="172">
      <formula>COUNTIF($O117,"*BEHIND*")&gt;0</formula>
    </cfRule>
    <cfRule type="expression" priority="24" aboveAverage="0" equalAverage="0" bottom="0" percent="0" rank="0" text="" dxfId="173">
      <formula>COUNTIF($O117,"In Progress*")&gt;0</formula>
    </cfRule>
    <cfRule type="expression" priority="25" aboveAverage="0" equalAverage="0" bottom="0" percent="0" rank="0" text="" dxfId="174">
      <formula>COUNTIF($O117,"NOT STARTED - LATE")&gt;0</formula>
    </cfRule>
  </conditionalFormatting>
  <conditionalFormatting sqref="O147:O172">
    <cfRule type="expression" priority="26" aboveAverage="0" equalAverage="0" bottom="0" percent="0" rank="0" text="" dxfId="175">
      <formula>COUNTIF($O147,"!*")&gt;0</formula>
    </cfRule>
    <cfRule type="expression" priority="27" aboveAverage="0" equalAverage="0" bottom="0" percent="0" rank="0" text="" dxfId="176">
      <formula>COUNTIF($O147,"Completed*Delayed")&gt;0</formula>
    </cfRule>
    <cfRule type="expression" priority="28" aboveAverage="0" equalAverage="0" bottom="0" percent="0" rank="0" text="" dxfId="177">
      <formula>COUNTIF($O147,"Completed*")&gt;0</formula>
    </cfRule>
    <cfRule type="expression" priority="29" aboveAverage="0" equalAverage="0" bottom="0" percent="0" rank="0" text="" dxfId="178">
      <formula>COUNTIF($O147,"*BEHIND*")&gt;0</formula>
    </cfRule>
    <cfRule type="expression" priority="30" aboveAverage="0" equalAverage="0" bottom="0" percent="0" rank="0" text="" dxfId="179">
      <formula>COUNTIF($O147,"In Progress*")&gt;0</formula>
    </cfRule>
    <cfRule type="expression" priority="31" aboveAverage="0" equalAverage="0" bottom="0" percent="0" rank="0" text="" dxfId="180">
      <formula>COUNTIF($O147,"NOT STARTED - LATE")&gt;0</formula>
    </cfRule>
  </conditionalFormatting>
  <dataValidations count="27">
    <dataValidation allowBlank="true" errorStyle="stop" operator="between" prompt="The work description shown on the report. Leave it BLANK to switch this row off - it then disappears from the tracker, the Gantt and the totals." promptTitle="Activity name" showDropDown="false" showErrorMessage="false" showInputMessage="false" sqref="B27:B52 B57:B82 B87:B112 B117:B142 B147:B172" type="textLength">
      <formula1>0</formula1>
      <formula2>200</formula2>
    </dataValidation>
    <dataValidation allowBlank="true" error="Type the planned hours, between 0 and 168." errorStyle="stop" errorTitle="Duration" operator="between" prompt="How many hours this activity is planned to take. Decimals are fine:  1.5  means one hour thirty." promptTitle="Planned duration  (hours)" showDropDown="false" showErrorMessage="true" showInputMessage="false" sqref="E27:E52 E57:E82 E87:E112 E117:E142 E147:E172" type="decimal">
      <formula1>0</formula1>
      <formula2>168</formula2>
    </dataValidation>
    <dataValidation allowBlank="true" error="Type the number of an activity ABOVE this one, or 0." errorStyle="stop" errorTitle="Predecessor" operator="between" prompt="The activity number this one follows, in this location.     0   starts at the possession start     3   driven by activity 3 above It must point upwards, or the status reads ! CHECK LINK." promptTitle="Predecessor activity" showDropDown="false" showErrorMessage="true" showInputMessage="false" sqref="F27:F52 F57:F82 F87:F112 F117:F142 F147:F172" type="whole">
      <formula1>0</formula1>
      <formula2>99</formula2>
    </dataValidation>
    <dataValidation allowBlank="false" errorStyle="stop" operator="between" prompt="hours or days" promptTitle="Unit" showDropDown="false" showErrorMessage="true" showInputMessage="false" sqref="F8:F9" type="list">
      <formula1>$Z$8:$Z$9</formula1>
      <formula2>0</formula2>
    </dataValidation>
    <dataValidation allowBlank="false" error="Choose FS, SS, FF or SF." errorStyle="stop" errorTitle="Relationship" operator="between" prompt="FS finish-to-start, SS start-to-start, FF finish-to-finish, SF start-to-finish." promptTitle="Relationship" showDropDown="false" showErrorMessage="true" showInputMessage="false" sqref="G117:G142" type="list">
      <formula1>$Z$2:$Z$5</formula1>
      <formula2>0</formula2>
    </dataValidation>
    <dataValidation allowBlank="false" error="Choose FS, SS, FF or SF." errorStyle="stop" errorTitle="Relationship" operator="between" prompt="FS finish-to-start, SS start-to-start, FF finish-to-finish, SF start-to-finish." promptTitle="Relationship" showDropDown="false" showErrorMessage="true" showInputMessage="false" sqref="G147:G172" type="list">
      <formula1>$Z$2:$Z$5</formula1>
      <formula2>0</formula2>
    </dataValidation>
    <dataValidation allowBlank="false" error="Choose FS, SS, FF or SF." errorStyle="stop" errorTitle="Relationship" operator="between" prompt="FS finish-to-start, SS start-to-start, FF finish-to-finish, SF start-to-finish." promptTitle="Relationship" showDropDown="false" showErrorMessage="true" showInputMessage="false" sqref="G27:G52" type="list">
      <formula1>$Z$2:$Z$5</formula1>
      <formula2>0</formula2>
    </dataValidation>
    <dataValidation allowBlank="false" error="Choose FS, SS, FF or SF." errorStyle="stop" errorTitle="Relationship" operator="between" prompt="FS finish-to-start, SS start-to-start, FF finish-to-finish, SF start-to-finish." promptTitle="Relationship" showDropDown="false" showErrorMessage="true" showInputMessage="false" sqref="G57:G82" type="list">
      <formula1>$Z$2:$Z$5</formula1>
      <formula2>0</formula2>
    </dataValidation>
    <dataValidation allowBlank="false" error="Choose FS, SS, FF or SF." errorStyle="stop" errorTitle="Relationship" operator="between" prompt="FS finish-to-start, SS start-to-start, FF finish-to-finish, SF start-to-finish." promptTitle="Relationship" showDropDown="false" showErrorMessage="true" showInputMessage="false" sqref="G87:G112" type="list">
      <formula1>$Z$2:$Z$5</formula1>
      <formula2>0</formula2>
    </dataValidation>
    <dataValidation allowBlank="true" error="Type the lag in hours, e.g. 2 or -1." errorStyle="stop" errorTitle="Lag" operator="between" prompt="Waiting time on the link, in hours.      0   no wait      2   start two hours after     -1   start one hour early (overlap)" promptTitle="Lag  (hours)" showDropDown="false" showErrorMessage="true" showInputMessage="false" sqref="H117:H142" type="decimal">
      <formula1>-168</formula1>
      <formula2>168</formula2>
    </dataValidation>
    <dataValidation allowBlank="true" error="Type the lag in hours, e.g. 2 or -1." errorStyle="stop" errorTitle="Lag" operator="between" prompt="Waiting time on the link, in hours.      0   no wait      2   start two hours after     -1   start one hour early (overlap)" promptTitle="Lag  (hours)" showDropDown="false" showErrorMessage="true" showInputMessage="false" sqref="H147:H172" type="decimal">
      <formula1>-168</formula1>
      <formula2>168</formula2>
    </dataValidation>
    <dataValidation allowBlank="true" error="Type the lag in hours, e.g. 2 or -1." errorStyle="stop" errorTitle="Lag" operator="between" prompt="Waiting time on the link, in hours.      0   no wait      2   start two hours after     -1   start one hour early (overlap)" promptTitle="Lag  (hours)" showDropDown="false" showErrorMessage="true" showInputMessage="false" sqref="H27:H52" type="decimal">
      <formula1>-168</formula1>
      <formula2>168</formula2>
    </dataValidation>
    <dataValidation allowBlank="true" error="Type the lag in hours, e.g. 2 or -1." errorStyle="stop" errorTitle="Lag" operator="between" prompt="Waiting time on the link, in hours.      0   no wait      2   start two hours after     -1   start one hour early (overlap)" promptTitle="Lag  (hours)" showDropDown="false" showErrorMessage="true" showInputMessage="false" sqref="H57:H82" type="decimal">
      <formula1>-168</formula1>
      <formula2>168</formula2>
    </dataValidation>
    <dataValidation allowBlank="true" error="Type the lag in hours, e.g. 2 or -1." errorStyle="stop" errorTitle="Lag" operator="between" prompt="Waiting time on the link, in hours.      0   no wait      2   start two hours after     -1   start one hour early (overlap)" promptTitle="Lag  (hours)" showDropDown="false" showErrorMessage="true" showInputMessage="false" sqref="H87:H112" type="decimal">
      <formula1>-168</formula1>
      <formula2>168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I117:I14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I147:I17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I27:I5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I57:I8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I87:I112" type="list">
      <formula1>$Z$12:$Z$16</formula1>
      <formula2>0</formula2>
    </dataValidation>
    <dataValidation allowBlank="true" error="Type the time as hh:mm in 24-hour format, for example 14:30." errorStyle="stop" errorTitle="Time format" operator="between" prompt="Type the hour and minute with a colon:     2 PM       -&gt;  14:00     8 AM       -&gt;  08:00     midnight   -&gt;  00:00 Do not type 8 or 1430." promptTitle="Actual time  (24-hour)" showDropDown="false" showErrorMessage="true" showInputMessage="false" sqref="J27:J52 L27:L52 J57:J82 L57:L82 J87:J112 L87:L112 J117:J142 L117:L142 J147:J172 L147:L172" type="time">
      <formula1>0</formula1>
      <formula2>0.99999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K117:K14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K147:K17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K27:K5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K57:K82" type="list">
      <formula1>$Z$12:$Z$16</formula1>
      <formula2>0</formula2>
    </dataValidation>
    <dataValidation allowBlank="true" error="Use the drop-down arrow and pick one of the possession dates." errorStyle="stop" errorTitle="Pick from the list" operator="between" prompt="Click the arrow and pick the date from the list. Do not type it." promptTitle="Actual date" showDropDown="false" showErrorMessage="true" showInputMessage="false" sqref="K87:K112" type="list">
      <formula1>$Z$12:$Z$16</formula1>
      <formula2>0</formula2>
    </dataValidation>
    <dataValidation allowBlank="true" error="Type a percentage between 0% and 100%." errorStyle="stop" errorTitle="% Complete" operator="between" prompt="Type the percentage, e.g. 60% Leave blank if the activity has not started. If you enter an Actual Finish, this becomes 100% automatically." promptTitle="% Complete" showDropDown="false" showErrorMessage="true" showInputMessage="false" sqref="N27:N52 N57:N82 N87:N112 N117:N142 N147:N172" type="decimal">
      <formula1>0</formula1>
      <formula2>1</formula2>
    </dataValidation>
    <dataValidation allowBlank="true" errorStyle="stop" operator="between" prompt="Free text - reason for a delay, who is on site, what is waiting. For the record only; it changes no calculation." promptTitle="Remarks" showDropDown="false" showErrorMessage="false" showInputMessage="false" sqref="P27:P52 P57:P82 P87:P112 P117:P142 P147:P172" type="textLength">
      <formula1>0</formula1>
      <formula2>400</formula2>
    </dataValidation>
  </dataValidations>
  <printOptions headings="false" gridLines="false" gridLinesSet="true" horizontalCentered="false" verticalCentered="false"/>
  <pageMargins left="0.25" right="0.25" top="1" bottom="1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2026-10-08T13:49:11Z</dcterms:created>
  <dc:creator>SAR IPMC - Planning Department</dc:creator>
  <dc:description/>
  <dc:language>en-US</dc:language>
  <cp:lastModifiedBy>Unknown</cp:lastModifiedBy>
  <dcterms:modified xsi:type="dcterms:W3CDTF">2026-10-08T13:49:32Z</dcterms:modified>
  <cp:revision>0</cp:revision>
  <dc:subject/>
  <dc:title>EWR Culverts Replacement Phase 2 - Shutdown 03 Progress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