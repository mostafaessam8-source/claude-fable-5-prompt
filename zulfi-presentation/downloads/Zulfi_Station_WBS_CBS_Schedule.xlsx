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vijayaraghavan\Downloads\"/>
    </mc:Choice>
  </mc:AlternateContent>
  <xr:revisionPtr revIDLastSave="0" documentId="8_{C7C86334-FA23-4587-98CD-780DE89C05AD}" xr6:coauthVersionLast="47" xr6:coauthVersionMax="47" xr10:uidLastSave="{00000000-0000-0000-0000-000000000000}"/>
  <bookViews>
    <workbookView xWindow="-110" yWindow="-110" windowWidth="19420" windowHeight="11500" tabRatio="500" activeTab="1" xr2:uid="{00000000-000D-0000-FFFF-FFFF00000000}"/>
  </bookViews>
  <sheets>
    <sheet name="Dashboard" sheetId="1" r:id="rId1"/>
    <sheet name="WBS &amp; CBS" sheetId="2" r:id="rId2"/>
    <sheet name="26-Month Schedule" sheetId="3" r:id="rId3"/>
    <sheet name="Assumptions &amp; Weightag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L78" i="3" l="1"/>
  <c r="AJ78" i="3" s="1"/>
  <c r="BK78" i="3"/>
  <c r="BJ78" i="3"/>
  <c r="BI78" i="3"/>
  <c r="BH78" i="3"/>
  <c r="BG78" i="3"/>
  <c r="BF78" i="3"/>
  <c r="AD78" i="3" s="1"/>
  <c r="BE78" i="3"/>
  <c r="BD78" i="3"/>
  <c r="BC78" i="3"/>
  <c r="BB78" i="3"/>
  <c r="BA78" i="3"/>
  <c r="AZ78" i="3"/>
  <c r="AY78" i="3"/>
  <c r="AX78" i="3"/>
  <c r="AW78" i="3"/>
  <c r="AV78" i="3"/>
  <c r="AU78" i="3"/>
  <c r="AT78" i="3"/>
  <c r="AS78" i="3"/>
  <c r="AR78" i="3"/>
  <c r="AQ78" i="3"/>
  <c r="AP78" i="3"/>
  <c r="AO78" i="3"/>
  <c r="AN78" i="3"/>
  <c r="AM78" i="3"/>
  <c r="BM78" i="3" s="1"/>
  <c r="Z78" i="3"/>
  <c r="Y78" i="3"/>
  <c r="X78" i="3"/>
  <c r="W78" i="3"/>
  <c r="V78" i="3"/>
  <c r="U78" i="3"/>
  <c r="T78" i="3"/>
  <c r="S78" i="3"/>
  <c r="R78" i="3"/>
  <c r="Q78" i="3"/>
  <c r="P78" i="3"/>
  <c r="O78" i="3"/>
  <c r="N78" i="3"/>
  <c r="M78" i="3"/>
  <c r="L78" i="3"/>
  <c r="K78" i="3"/>
  <c r="H78" i="3"/>
  <c r="BL77" i="3"/>
  <c r="BK77" i="3"/>
  <c r="BJ77" i="3"/>
  <c r="BI77" i="3"/>
  <c r="BH77" i="3"/>
  <c r="BG77" i="3"/>
  <c r="BF77" i="3"/>
  <c r="BE77" i="3"/>
  <c r="BD77" i="3"/>
  <c r="BC77" i="3"/>
  <c r="BB77" i="3"/>
  <c r="BA77" i="3"/>
  <c r="AZ77" i="3"/>
  <c r="AY77" i="3"/>
  <c r="AX77" i="3"/>
  <c r="AW77" i="3"/>
  <c r="AV77" i="3"/>
  <c r="AU77" i="3"/>
  <c r="AT77" i="3"/>
  <c r="AS77" i="3"/>
  <c r="AR77" i="3"/>
  <c r="AQ77" i="3"/>
  <c r="AP77" i="3"/>
  <c r="AO77" i="3"/>
  <c r="BM77" i="3" s="1"/>
  <c r="AN77" i="3"/>
  <c r="AM77" i="3"/>
  <c r="AJ77" i="3"/>
  <c r="AI77" i="3"/>
  <c r="AH77" i="3"/>
  <c r="AG77" i="3"/>
  <c r="AF77" i="3"/>
  <c r="AE77" i="3"/>
  <c r="AD77" i="3"/>
  <c r="AC77" i="3"/>
  <c r="AB77" i="3"/>
  <c r="AA77" i="3"/>
  <c r="R77" i="3"/>
  <c r="Q77" i="3"/>
  <c r="P77" i="3"/>
  <c r="O77" i="3"/>
  <c r="N77" i="3"/>
  <c r="M77" i="3"/>
  <c r="L77" i="3"/>
  <c r="K77" i="3"/>
  <c r="H77" i="3"/>
  <c r="U77" i="3" s="1"/>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BM76" i="3" s="1"/>
  <c r="AJ76" i="3"/>
  <c r="AI76" i="3"/>
  <c r="AH76" i="3"/>
  <c r="AG76" i="3"/>
  <c r="AF76" i="3"/>
  <c r="AE76" i="3"/>
  <c r="AD76" i="3"/>
  <c r="AC76" i="3"/>
  <c r="AB76" i="3"/>
  <c r="AA76" i="3"/>
  <c r="Z76" i="3"/>
  <c r="Y76" i="3"/>
  <c r="X76" i="3"/>
  <c r="W76" i="3"/>
  <c r="V76" i="3"/>
  <c r="U76" i="3"/>
  <c r="T76" i="3"/>
  <c r="S76" i="3"/>
  <c r="Q76" i="3"/>
  <c r="P76" i="3"/>
  <c r="O76" i="3"/>
  <c r="N76" i="3"/>
  <c r="M76" i="3"/>
  <c r="L76" i="3"/>
  <c r="K76" i="3"/>
  <c r="AK76" i="3" s="1"/>
  <c r="H76" i="3"/>
  <c r="R76" i="3" s="1"/>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BM75" i="3" s="1"/>
  <c r="AJ75" i="3"/>
  <c r="AI75" i="3"/>
  <c r="AH75" i="3"/>
  <c r="AG75" i="3"/>
  <c r="AF75" i="3"/>
  <c r="AE75" i="3"/>
  <c r="AD75" i="3"/>
  <c r="AC75" i="3"/>
  <c r="AB75" i="3"/>
  <c r="AA75" i="3"/>
  <c r="Z75" i="3"/>
  <c r="Y75" i="3"/>
  <c r="X75" i="3"/>
  <c r="W75" i="3"/>
  <c r="V75" i="3"/>
  <c r="U75" i="3"/>
  <c r="T75" i="3"/>
  <c r="S75" i="3"/>
  <c r="R75" i="3"/>
  <c r="Q75" i="3"/>
  <c r="P75" i="3"/>
  <c r="O75" i="3"/>
  <c r="N75" i="3"/>
  <c r="M75" i="3"/>
  <c r="L75" i="3"/>
  <c r="K75" i="3"/>
  <c r="AK75" i="3" s="1"/>
  <c r="H75" i="3"/>
  <c r="BL74" i="3"/>
  <c r="BK74" i="3"/>
  <c r="BJ74" i="3"/>
  <c r="AH74" i="3" s="1"/>
  <c r="BI74" i="3"/>
  <c r="BH74" i="3"/>
  <c r="BG74" i="3"/>
  <c r="BF74" i="3"/>
  <c r="BE74" i="3"/>
  <c r="BD74" i="3"/>
  <c r="BC74" i="3"/>
  <c r="BB74" i="3"/>
  <c r="BA74" i="3"/>
  <c r="AZ74" i="3"/>
  <c r="AY74" i="3"/>
  <c r="AX74" i="3"/>
  <c r="AW74" i="3"/>
  <c r="AV74" i="3"/>
  <c r="AU74" i="3"/>
  <c r="AT74" i="3"/>
  <c r="AS74" i="3"/>
  <c r="AR74" i="3"/>
  <c r="AQ74" i="3"/>
  <c r="AP74" i="3"/>
  <c r="AO74" i="3"/>
  <c r="AN74" i="3"/>
  <c r="BM74" i="3" s="1"/>
  <c r="AM74" i="3"/>
  <c r="AD74" i="3"/>
  <c r="AC74" i="3"/>
  <c r="AB74" i="3"/>
  <c r="AA74" i="3"/>
  <c r="Z74" i="3"/>
  <c r="Y74" i="3"/>
  <c r="X74" i="3"/>
  <c r="W74" i="3"/>
  <c r="V74" i="3"/>
  <c r="U74" i="3"/>
  <c r="T74" i="3"/>
  <c r="S74" i="3"/>
  <c r="R74" i="3"/>
  <c r="Q74" i="3"/>
  <c r="P74" i="3"/>
  <c r="O74" i="3"/>
  <c r="N74" i="3"/>
  <c r="M74" i="3"/>
  <c r="L74" i="3"/>
  <c r="K74" i="3"/>
  <c r="H74"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BM73" i="3" s="1"/>
  <c r="AJ73" i="3"/>
  <c r="AI73" i="3"/>
  <c r="AH73" i="3"/>
  <c r="AG73" i="3"/>
  <c r="AF73" i="3"/>
  <c r="AE73" i="3"/>
  <c r="Z73" i="3"/>
  <c r="V73" i="3"/>
  <c r="U73" i="3"/>
  <c r="T73" i="3"/>
  <c r="S73" i="3"/>
  <c r="R73" i="3"/>
  <c r="Q73" i="3"/>
  <c r="P73" i="3"/>
  <c r="O73" i="3"/>
  <c r="N73" i="3"/>
  <c r="M73" i="3"/>
  <c r="L73" i="3"/>
  <c r="K73" i="3"/>
  <c r="H73" i="3"/>
  <c r="Y73" i="3" s="1"/>
  <c r="BL72" i="3"/>
  <c r="BK72" i="3"/>
  <c r="BJ72" i="3"/>
  <c r="BI72" i="3"/>
  <c r="BH72" i="3"/>
  <c r="BG72" i="3"/>
  <c r="BF72" i="3"/>
  <c r="BE72" i="3"/>
  <c r="BD72" i="3"/>
  <c r="BC72" i="3"/>
  <c r="BB72" i="3"/>
  <c r="BA72" i="3"/>
  <c r="AZ72" i="3"/>
  <c r="AY72" i="3"/>
  <c r="AX72" i="3"/>
  <c r="AW72" i="3"/>
  <c r="AV72" i="3"/>
  <c r="AU72" i="3"/>
  <c r="AT72" i="3"/>
  <c r="AS72" i="3"/>
  <c r="AR72" i="3"/>
  <c r="AQ72" i="3"/>
  <c r="AP72" i="3"/>
  <c r="AO72" i="3"/>
  <c r="AN72" i="3"/>
  <c r="AM72" i="3"/>
  <c r="BM72" i="3" s="1"/>
  <c r="AJ72" i="3"/>
  <c r="AI72" i="3"/>
  <c r="AH72" i="3"/>
  <c r="AG72" i="3"/>
  <c r="AF72" i="3"/>
  <c r="AE72" i="3"/>
  <c r="AD72" i="3"/>
  <c r="AC72" i="3"/>
  <c r="AB72" i="3"/>
  <c r="AA72" i="3"/>
  <c r="Z72" i="3"/>
  <c r="Y72" i="3"/>
  <c r="X72" i="3"/>
  <c r="W72" i="3"/>
  <c r="U72" i="3"/>
  <c r="T72" i="3"/>
  <c r="S72" i="3"/>
  <c r="R72" i="3"/>
  <c r="Q72" i="3"/>
  <c r="P72" i="3"/>
  <c r="O72" i="3"/>
  <c r="N72" i="3"/>
  <c r="M72" i="3"/>
  <c r="L72" i="3"/>
  <c r="K72" i="3"/>
  <c r="H72" i="3"/>
  <c r="V72" i="3" s="1"/>
  <c r="BL71" i="3"/>
  <c r="BK71" i="3"/>
  <c r="BJ71" i="3"/>
  <c r="BI71" i="3"/>
  <c r="BH71" i="3"/>
  <c r="BG71" i="3"/>
  <c r="BF71" i="3"/>
  <c r="BE71" i="3"/>
  <c r="BD71" i="3"/>
  <c r="BC71" i="3"/>
  <c r="BB71" i="3"/>
  <c r="BA71" i="3"/>
  <c r="AZ71" i="3"/>
  <c r="AY71" i="3"/>
  <c r="AX71" i="3"/>
  <c r="AW71" i="3"/>
  <c r="AV71" i="3"/>
  <c r="AU71" i="3"/>
  <c r="AT71" i="3"/>
  <c r="AS71" i="3"/>
  <c r="AR71" i="3"/>
  <c r="AQ71" i="3"/>
  <c r="AP71" i="3"/>
  <c r="AO71" i="3"/>
  <c r="BM71" i="3" s="1"/>
  <c r="AN71" i="3"/>
  <c r="AM71" i="3"/>
  <c r="AJ71" i="3"/>
  <c r="AI71" i="3"/>
  <c r="AH71" i="3"/>
  <c r="AG71" i="3"/>
  <c r="AF71" i="3"/>
  <c r="AE71" i="3"/>
  <c r="AD71" i="3"/>
  <c r="AC71" i="3"/>
  <c r="AB71" i="3"/>
  <c r="AA71" i="3"/>
  <c r="Z71" i="3"/>
  <c r="Y71" i="3"/>
  <c r="X71" i="3"/>
  <c r="W71" i="3"/>
  <c r="V71" i="3"/>
  <c r="T71" i="3"/>
  <c r="S71" i="3"/>
  <c r="R71" i="3"/>
  <c r="Q71" i="3"/>
  <c r="P71" i="3"/>
  <c r="O71" i="3"/>
  <c r="N71" i="3"/>
  <c r="M71" i="3"/>
  <c r="L71" i="3"/>
  <c r="AK71" i="3" s="1"/>
  <c r="K71" i="3"/>
  <c r="H71" i="3"/>
  <c r="U71" i="3" s="1"/>
  <c r="BL70" i="3"/>
  <c r="BK70" i="3"/>
  <c r="BJ70" i="3"/>
  <c r="BI70" i="3"/>
  <c r="BH70" i="3"/>
  <c r="AF70" i="3" s="1"/>
  <c r="BG70" i="3"/>
  <c r="BF70" i="3"/>
  <c r="BE70" i="3"/>
  <c r="BD70" i="3"/>
  <c r="BC70" i="3"/>
  <c r="BB70" i="3"/>
  <c r="BA70" i="3"/>
  <c r="AZ70" i="3"/>
  <c r="AY70" i="3"/>
  <c r="AX70" i="3"/>
  <c r="AW70" i="3"/>
  <c r="AV70" i="3"/>
  <c r="AU70" i="3"/>
  <c r="AT70" i="3"/>
  <c r="AS70" i="3"/>
  <c r="AR70" i="3"/>
  <c r="AQ70" i="3"/>
  <c r="AP70" i="3"/>
  <c r="AO70" i="3"/>
  <c r="AN70" i="3"/>
  <c r="BM70" i="3" s="1"/>
  <c r="AM70" i="3"/>
  <c r="AC70" i="3"/>
  <c r="AB70" i="3"/>
  <c r="AA70" i="3"/>
  <c r="Z70" i="3"/>
  <c r="Y70" i="3"/>
  <c r="X70" i="3"/>
  <c r="W70" i="3"/>
  <c r="V70" i="3"/>
  <c r="U70" i="3"/>
  <c r="T70" i="3"/>
  <c r="S70" i="3"/>
  <c r="R70" i="3"/>
  <c r="Q70" i="3"/>
  <c r="P70" i="3"/>
  <c r="O70" i="3"/>
  <c r="N70" i="3"/>
  <c r="M70" i="3"/>
  <c r="L70" i="3"/>
  <c r="K70" i="3"/>
  <c r="H70" i="3"/>
  <c r="BL69" i="3"/>
  <c r="BK69" i="3"/>
  <c r="BJ69" i="3"/>
  <c r="BI69" i="3"/>
  <c r="BH69" i="3"/>
  <c r="BG69" i="3"/>
  <c r="BF69" i="3"/>
  <c r="BE69" i="3"/>
  <c r="BD69" i="3"/>
  <c r="BC69" i="3"/>
  <c r="BB69" i="3"/>
  <c r="BA69" i="3"/>
  <c r="AZ69" i="3"/>
  <c r="AY69" i="3"/>
  <c r="AX69" i="3"/>
  <c r="AW69" i="3"/>
  <c r="AV69" i="3"/>
  <c r="AU69" i="3"/>
  <c r="AT69" i="3"/>
  <c r="AS69" i="3"/>
  <c r="AR69" i="3"/>
  <c r="AQ69" i="3"/>
  <c r="AP69" i="3"/>
  <c r="AO69" i="3"/>
  <c r="AN69" i="3"/>
  <c r="AM69" i="3"/>
  <c r="BM69" i="3" s="1"/>
  <c r="AJ69" i="3"/>
  <c r="AI69" i="3"/>
  <c r="AH69" i="3"/>
  <c r="AG69" i="3"/>
  <c r="AF69" i="3"/>
  <c r="AE69" i="3"/>
  <c r="AD69" i="3"/>
  <c r="AB69" i="3"/>
  <c r="AA69" i="3"/>
  <c r="Z69" i="3"/>
  <c r="Y69" i="3"/>
  <c r="X69" i="3"/>
  <c r="W69" i="3"/>
  <c r="V69" i="3"/>
  <c r="U69" i="3"/>
  <c r="T69" i="3"/>
  <c r="S69" i="3"/>
  <c r="R69" i="3"/>
  <c r="Q69" i="3"/>
  <c r="P69" i="3"/>
  <c r="O69" i="3"/>
  <c r="N69" i="3"/>
  <c r="M69" i="3"/>
  <c r="L69" i="3"/>
  <c r="K69" i="3"/>
  <c r="AK69" i="3" s="1"/>
  <c r="H69" i="3"/>
  <c r="AC69" i="3" s="1"/>
  <c r="BL68" i="3"/>
  <c r="BK68" i="3"/>
  <c r="BJ68" i="3"/>
  <c r="BI68" i="3"/>
  <c r="BH68" i="3"/>
  <c r="BG68" i="3"/>
  <c r="BF68" i="3"/>
  <c r="BE68" i="3"/>
  <c r="BD68" i="3"/>
  <c r="BC68" i="3"/>
  <c r="BB68" i="3"/>
  <c r="BA68" i="3"/>
  <c r="AZ68" i="3"/>
  <c r="AY68" i="3"/>
  <c r="AX68" i="3"/>
  <c r="AW68" i="3"/>
  <c r="AV68" i="3"/>
  <c r="AU68" i="3"/>
  <c r="AT68" i="3"/>
  <c r="AS68" i="3"/>
  <c r="AR68" i="3"/>
  <c r="AQ68" i="3"/>
  <c r="AP68" i="3"/>
  <c r="AO68" i="3"/>
  <c r="AN68" i="3"/>
  <c r="AM68" i="3"/>
  <c r="BM68" i="3" s="1"/>
  <c r="AJ68" i="3"/>
  <c r="AI68" i="3"/>
  <c r="AH68" i="3"/>
  <c r="AG68" i="3"/>
  <c r="AF68" i="3"/>
  <c r="AE68" i="3"/>
  <c r="AD68" i="3"/>
  <c r="AC68" i="3"/>
  <c r="AA68" i="3"/>
  <c r="Z68" i="3"/>
  <c r="Y68" i="3"/>
  <c r="X68" i="3"/>
  <c r="W68" i="3"/>
  <c r="V68" i="3"/>
  <c r="U68" i="3"/>
  <c r="T68" i="3"/>
  <c r="S68" i="3"/>
  <c r="R68" i="3"/>
  <c r="Q68" i="3"/>
  <c r="P68" i="3"/>
  <c r="O68" i="3"/>
  <c r="N68" i="3"/>
  <c r="M68" i="3"/>
  <c r="L68" i="3"/>
  <c r="K68" i="3"/>
  <c r="H68" i="3"/>
  <c r="AB68" i="3" s="1"/>
  <c r="BL67" i="3"/>
  <c r="BK67" i="3"/>
  <c r="BJ67" i="3"/>
  <c r="BI67" i="3"/>
  <c r="BH67" i="3"/>
  <c r="BG67" i="3"/>
  <c r="BF67" i="3"/>
  <c r="BE67" i="3"/>
  <c r="BD67" i="3"/>
  <c r="BC67" i="3"/>
  <c r="BB67" i="3"/>
  <c r="BA67" i="3"/>
  <c r="AZ67" i="3"/>
  <c r="AY67" i="3"/>
  <c r="AX67" i="3"/>
  <c r="AW67" i="3"/>
  <c r="AV67" i="3"/>
  <c r="AU67" i="3"/>
  <c r="AT67" i="3"/>
  <c r="AS67" i="3"/>
  <c r="AR67" i="3"/>
  <c r="AQ67" i="3"/>
  <c r="AP67" i="3"/>
  <c r="AO67" i="3"/>
  <c r="AN67" i="3"/>
  <c r="AM67" i="3"/>
  <c r="BM67" i="3" s="1"/>
  <c r="AJ67" i="3"/>
  <c r="AI67" i="3"/>
  <c r="AH67" i="3"/>
  <c r="AG67" i="3"/>
  <c r="AF67" i="3"/>
  <c r="AE67" i="3"/>
  <c r="AD67" i="3"/>
  <c r="AC67" i="3"/>
  <c r="AB67" i="3"/>
  <c r="AA67" i="3"/>
  <c r="Z67" i="3"/>
  <c r="Y67" i="3"/>
  <c r="X67" i="3"/>
  <c r="W67" i="3"/>
  <c r="V67" i="3"/>
  <c r="U67" i="3"/>
  <c r="T67" i="3"/>
  <c r="S67" i="3"/>
  <c r="R67" i="3"/>
  <c r="Q67" i="3"/>
  <c r="P67" i="3"/>
  <c r="O67" i="3"/>
  <c r="N67" i="3"/>
  <c r="M67" i="3"/>
  <c r="L67" i="3"/>
  <c r="AK67" i="3" s="1"/>
  <c r="K67" i="3"/>
  <c r="H67" i="3"/>
  <c r="BL66" i="3"/>
  <c r="BK66" i="3"/>
  <c r="BJ66" i="3"/>
  <c r="BI66" i="3"/>
  <c r="BH66" i="3"/>
  <c r="BG66" i="3"/>
  <c r="BF66" i="3"/>
  <c r="AD66" i="3" s="1"/>
  <c r="BE66" i="3"/>
  <c r="BD66" i="3"/>
  <c r="BC66" i="3"/>
  <c r="BB66" i="3"/>
  <c r="BA66" i="3"/>
  <c r="AZ66" i="3"/>
  <c r="AY66" i="3"/>
  <c r="AX66" i="3"/>
  <c r="AW66" i="3"/>
  <c r="AV66" i="3"/>
  <c r="AU66" i="3"/>
  <c r="AT66" i="3"/>
  <c r="AS66" i="3"/>
  <c r="AR66" i="3"/>
  <c r="AQ66" i="3"/>
  <c r="AP66" i="3"/>
  <c r="AO66" i="3"/>
  <c r="AN66" i="3"/>
  <c r="AM66" i="3"/>
  <c r="BM66" i="3" s="1"/>
  <c r="Z66" i="3"/>
  <c r="Y66" i="3"/>
  <c r="X66" i="3"/>
  <c r="W66" i="3"/>
  <c r="V66" i="3"/>
  <c r="U66" i="3"/>
  <c r="T66" i="3"/>
  <c r="S66" i="3"/>
  <c r="R66" i="3"/>
  <c r="Q66" i="3"/>
  <c r="P66" i="3"/>
  <c r="O66" i="3"/>
  <c r="N66" i="3"/>
  <c r="M66" i="3"/>
  <c r="L66" i="3"/>
  <c r="K66" i="3"/>
  <c r="H66" i="3"/>
  <c r="BL65" i="3"/>
  <c r="BK65" i="3"/>
  <c r="BJ65" i="3"/>
  <c r="BI65" i="3"/>
  <c r="BH65" i="3"/>
  <c r="BG65" i="3"/>
  <c r="BF65" i="3"/>
  <c r="BE65" i="3"/>
  <c r="BD65" i="3"/>
  <c r="BC65" i="3"/>
  <c r="BB65" i="3"/>
  <c r="BA65" i="3"/>
  <c r="AZ65" i="3"/>
  <c r="AY65" i="3"/>
  <c r="AX65" i="3"/>
  <c r="AW65" i="3"/>
  <c r="AV65" i="3"/>
  <c r="AU65" i="3"/>
  <c r="AT65" i="3"/>
  <c r="AS65" i="3"/>
  <c r="AR65" i="3"/>
  <c r="AQ65" i="3"/>
  <c r="AP65" i="3"/>
  <c r="AO65" i="3"/>
  <c r="BM65" i="3" s="1"/>
  <c r="AN65" i="3"/>
  <c r="AM65" i="3"/>
  <c r="AJ65" i="3"/>
  <c r="AI65" i="3"/>
  <c r="AH65" i="3"/>
  <c r="AG65" i="3"/>
  <c r="AF65" i="3"/>
  <c r="AE65" i="3"/>
  <c r="AD65" i="3"/>
  <c r="AC65" i="3"/>
  <c r="AB65" i="3"/>
  <c r="AA65" i="3"/>
  <c r="R65" i="3"/>
  <c r="Q65" i="3"/>
  <c r="P65" i="3"/>
  <c r="O65" i="3"/>
  <c r="N65" i="3"/>
  <c r="M65" i="3"/>
  <c r="L65" i="3"/>
  <c r="K65" i="3"/>
  <c r="H65" i="3"/>
  <c r="U65" i="3" s="1"/>
  <c r="BL64" i="3"/>
  <c r="BK64" i="3"/>
  <c r="BJ64" i="3"/>
  <c r="BI64" i="3"/>
  <c r="BH64" i="3"/>
  <c r="BG64" i="3"/>
  <c r="BF64" i="3"/>
  <c r="BE64" i="3"/>
  <c r="BD64" i="3"/>
  <c r="BC64" i="3"/>
  <c r="BB64" i="3"/>
  <c r="BA64" i="3"/>
  <c r="AZ64" i="3"/>
  <c r="AY64" i="3"/>
  <c r="AX64" i="3"/>
  <c r="AW64" i="3"/>
  <c r="AV64" i="3"/>
  <c r="AU64" i="3"/>
  <c r="AT64" i="3"/>
  <c r="AS64" i="3"/>
  <c r="AR64" i="3"/>
  <c r="AQ64" i="3"/>
  <c r="AP64" i="3"/>
  <c r="AO64" i="3"/>
  <c r="AN64" i="3"/>
  <c r="AM64" i="3"/>
  <c r="BM64" i="3" s="1"/>
  <c r="AJ64" i="3"/>
  <c r="AI64" i="3"/>
  <c r="AH64" i="3"/>
  <c r="AG64" i="3"/>
  <c r="AF64" i="3"/>
  <c r="AE64" i="3"/>
  <c r="AD64" i="3"/>
  <c r="AC64" i="3"/>
  <c r="AB64" i="3"/>
  <c r="AA64" i="3"/>
  <c r="Z64" i="3"/>
  <c r="Y64" i="3"/>
  <c r="X64" i="3"/>
  <c r="W64" i="3"/>
  <c r="V64" i="3"/>
  <c r="U64" i="3"/>
  <c r="T64" i="3"/>
  <c r="S64" i="3"/>
  <c r="Q64" i="3"/>
  <c r="P64" i="3"/>
  <c r="O64" i="3"/>
  <c r="N64" i="3"/>
  <c r="M64" i="3"/>
  <c r="L64" i="3"/>
  <c r="K64" i="3"/>
  <c r="AK64" i="3" s="1"/>
  <c r="H64" i="3"/>
  <c r="R64" i="3" s="1"/>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BM63" i="3" s="1"/>
  <c r="AJ63" i="3"/>
  <c r="AI63" i="3"/>
  <c r="AH63" i="3"/>
  <c r="AG63" i="3"/>
  <c r="AF63" i="3"/>
  <c r="AE63" i="3"/>
  <c r="AD63" i="3"/>
  <c r="AC63" i="3"/>
  <c r="AB63" i="3"/>
  <c r="AA63" i="3"/>
  <c r="Z63" i="3"/>
  <c r="Y63" i="3"/>
  <c r="X63" i="3"/>
  <c r="W63" i="3"/>
  <c r="V63" i="3"/>
  <c r="U63" i="3"/>
  <c r="T63" i="3"/>
  <c r="S63" i="3"/>
  <c r="R63" i="3"/>
  <c r="Q63" i="3"/>
  <c r="P63" i="3"/>
  <c r="O63" i="3"/>
  <c r="N63" i="3"/>
  <c r="M63" i="3"/>
  <c r="L63" i="3"/>
  <c r="K63" i="3"/>
  <c r="AK63" i="3" s="1"/>
  <c r="H63" i="3"/>
  <c r="BL62" i="3"/>
  <c r="BK62" i="3"/>
  <c r="BJ62" i="3"/>
  <c r="BI62" i="3"/>
  <c r="BH62" i="3"/>
  <c r="AF62" i="3" s="1"/>
  <c r="BG62" i="3"/>
  <c r="BF62" i="3"/>
  <c r="BE62" i="3"/>
  <c r="BD62" i="3"/>
  <c r="AB62" i="3" s="1"/>
  <c r="BC62" i="3"/>
  <c r="BB62" i="3"/>
  <c r="BA62" i="3"/>
  <c r="AZ62" i="3"/>
  <c r="AY62" i="3"/>
  <c r="AX62" i="3"/>
  <c r="AW62" i="3"/>
  <c r="AV62" i="3"/>
  <c r="AU62" i="3"/>
  <c r="AT62" i="3"/>
  <c r="AS62" i="3"/>
  <c r="AR62" i="3"/>
  <c r="AQ62" i="3"/>
  <c r="AP62" i="3"/>
  <c r="AO62" i="3"/>
  <c r="AN62" i="3"/>
  <c r="BM62" i="3" s="1"/>
  <c r="AM62" i="3"/>
  <c r="AJ62" i="3"/>
  <c r="V62" i="3"/>
  <c r="U62" i="3"/>
  <c r="T62" i="3"/>
  <c r="S62" i="3"/>
  <c r="R62" i="3"/>
  <c r="Q62" i="3"/>
  <c r="P62" i="3"/>
  <c r="O62" i="3"/>
  <c r="N62" i="3"/>
  <c r="M62" i="3"/>
  <c r="L62" i="3"/>
  <c r="K62" i="3"/>
  <c r="H62"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BM61" i="3" s="1"/>
  <c r="AJ61" i="3"/>
  <c r="AI61" i="3"/>
  <c r="AH61" i="3"/>
  <c r="AG61" i="3"/>
  <c r="AF61" i="3"/>
  <c r="AE61" i="3"/>
  <c r="AD61" i="3"/>
  <c r="AC61" i="3"/>
  <c r="AB61" i="3"/>
  <c r="AA61" i="3"/>
  <c r="Z61" i="3"/>
  <c r="Y61" i="3"/>
  <c r="X61" i="3"/>
  <c r="W61" i="3"/>
  <c r="U61" i="3"/>
  <c r="T61" i="3"/>
  <c r="S61" i="3"/>
  <c r="R61" i="3"/>
  <c r="Q61" i="3"/>
  <c r="P61" i="3"/>
  <c r="O61" i="3"/>
  <c r="N61" i="3"/>
  <c r="M61" i="3"/>
  <c r="L61" i="3"/>
  <c r="K61" i="3"/>
  <c r="H61" i="3"/>
  <c r="V61" i="3" s="1"/>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BM60" i="3" s="1"/>
  <c r="AJ60" i="3"/>
  <c r="AI60" i="3"/>
  <c r="AH60" i="3"/>
  <c r="AG60" i="3"/>
  <c r="AF60" i="3"/>
  <c r="AE60" i="3"/>
  <c r="AD60" i="3"/>
  <c r="AC60" i="3"/>
  <c r="AB60" i="3"/>
  <c r="AA60" i="3"/>
  <c r="Z60" i="3"/>
  <c r="Y60" i="3"/>
  <c r="X60" i="3"/>
  <c r="W60" i="3"/>
  <c r="V60" i="3"/>
  <c r="U60" i="3"/>
  <c r="T60" i="3"/>
  <c r="S60" i="3"/>
  <c r="R60" i="3"/>
  <c r="Q60" i="3"/>
  <c r="P60" i="3"/>
  <c r="O60" i="3"/>
  <c r="N60" i="3"/>
  <c r="M60" i="3"/>
  <c r="L60" i="3"/>
  <c r="K60" i="3"/>
  <c r="AK60" i="3" s="1"/>
  <c r="H60" i="3"/>
  <c r="BL59" i="3"/>
  <c r="BK59" i="3"/>
  <c r="BJ59" i="3"/>
  <c r="BI59" i="3"/>
  <c r="BH59" i="3"/>
  <c r="BG59" i="3"/>
  <c r="BF59" i="3"/>
  <c r="BE59" i="3"/>
  <c r="BD59" i="3"/>
  <c r="BC59" i="3"/>
  <c r="BB59" i="3"/>
  <c r="BA59" i="3"/>
  <c r="AZ59" i="3"/>
  <c r="AY59" i="3"/>
  <c r="AX59" i="3"/>
  <c r="AW59" i="3"/>
  <c r="AV59" i="3"/>
  <c r="AU59" i="3"/>
  <c r="AT59" i="3"/>
  <c r="AS59" i="3"/>
  <c r="AR59" i="3"/>
  <c r="AQ59" i="3"/>
  <c r="AP59" i="3"/>
  <c r="AO59" i="3"/>
  <c r="BM59" i="3" s="1"/>
  <c r="AN59" i="3"/>
  <c r="AM59" i="3"/>
  <c r="AJ59" i="3"/>
  <c r="AI59" i="3"/>
  <c r="AH59" i="3"/>
  <c r="AG59" i="3"/>
  <c r="AF59" i="3"/>
  <c r="AE59" i="3"/>
  <c r="AD59" i="3"/>
  <c r="AC59" i="3"/>
  <c r="AB59" i="3"/>
  <c r="AA59" i="3"/>
  <c r="Z59" i="3"/>
  <c r="Y59" i="3"/>
  <c r="X59" i="3"/>
  <c r="W59" i="3"/>
  <c r="V59" i="3"/>
  <c r="T59" i="3"/>
  <c r="S59" i="3"/>
  <c r="R59" i="3"/>
  <c r="Q59" i="3"/>
  <c r="P59" i="3"/>
  <c r="O59" i="3"/>
  <c r="N59" i="3"/>
  <c r="M59" i="3"/>
  <c r="L59" i="3"/>
  <c r="K59" i="3"/>
  <c r="H59" i="3"/>
  <c r="U59" i="3" s="1"/>
  <c r="BL58" i="3"/>
  <c r="AJ58" i="3" s="1"/>
  <c r="BK58" i="3"/>
  <c r="BJ58" i="3"/>
  <c r="BI58" i="3"/>
  <c r="BH58" i="3"/>
  <c r="BG58" i="3"/>
  <c r="BF58" i="3"/>
  <c r="BE58" i="3"/>
  <c r="BD58" i="3"/>
  <c r="BC58" i="3"/>
  <c r="BB58" i="3"/>
  <c r="BA58" i="3"/>
  <c r="AZ58" i="3"/>
  <c r="AY58" i="3"/>
  <c r="AX58" i="3"/>
  <c r="AW58" i="3"/>
  <c r="AV58" i="3"/>
  <c r="AU58" i="3"/>
  <c r="AT58" i="3"/>
  <c r="AS58" i="3"/>
  <c r="AR58" i="3"/>
  <c r="AQ58" i="3"/>
  <c r="AP58" i="3"/>
  <c r="AO58" i="3"/>
  <c r="AN58" i="3"/>
  <c r="BM58" i="3" s="1"/>
  <c r="AI58" i="3" s="1"/>
  <c r="AM58" i="3"/>
  <c r="AH58" i="3"/>
  <c r="AG58" i="3"/>
  <c r="AF58" i="3"/>
  <c r="AE58" i="3"/>
  <c r="AD58" i="3"/>
  <c r="AC58" i="3"/>
  <c r="AB58" i="3"/>
  <c r="AA58" i="3"/>
  <c r="Z58" i="3"/>
  <c r="Y58" i="3"/>
  <c r="X58" i="3"/>
  <c r="W58" i="3"/>
  <c r="V58" i="3"/>
  <c r="U58" i="3"/>
  <c r="T58" i="3"/>
  <c r="S58" i="3"/>
  <c r="R58" i="3"/>
  <c r="Q58" i="3"/>
  <c r="P58" i="3"/>
  <c r="O58" i="3"/>
  <c r="N58" i="3"/>
  <c r="M58" i="3"/>
  <c r="L58" i="3"/>
  <c r="K58" i="3"/>
  <c r="H58"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BM57" i="3" s="1"/>
  <c r="AJ57" i="3"/>
  <c r="AI57" i="3"/>
  <c r="AG57" i="3"/>
  <c r="AF57" i="3"/>
  <c r="AE57" i="3"/>
  <c r="AD57" i="3"/>
  <c r="AC57" i="3"/>
  <c r="AB57" i="3"/>
  <c r="AA57" i="3"/>
  <c r="Z57" i="3"/>
  <c r="Y57" i="3"/>
  <c r="X57" i="3"/>
  <c r="W57" i="3"/>
  <c r="V57" i="3"/>
  <c r="U57" i="3"/>
  <c r="T57" i="3"/>
  <c r="S57" i="3"/>
  <c r="R57" i="3"/>
  <c r="Q57" i="3"/>
  <c r="P57" i="3"/>
  <c r="O57" i="3"/>
  <c r="N57" i="3"/>
  <c r="M57" i="3"/>
  <c r="L57" i="3"/>
  <c r="K57" i="3"/>
  <c r="H57" i="3"/>
  <c r="AH57" i="3" s="1"/>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BM56" i="3" s="1"/>
  <c r="AJ56" i="3"/>
  <c r="AI56" i="3"/>
  <c r="AH56" i="3"/>
  <c r="AG56" i="3"/>
  <c r="AF56" i="3"/>
  <c r="AE56" i="3"/>
  <c r="AD56" i="3"/>
  <c r="AC56" i="3"/>
  <c r="AB56" i="3"/>
  <c r="AA56" i="3"/>
  <c r="Z56" i="3"/>
  <c r="Y56" i="3"/>
  <c r="X56" i="3"/>
  <c r="W56" i="3"/>
  <c r="V56" i="3"/>
  <c r="U56" i="3"/>
  <c r="T56" i="3"/>
  <c r="S56" i="3"/>
  <c r="R56" i="3"/>
  <c r="Q56" i="3"/>
  <c r="P56" i="3"/>
  <c r="O56" i="3"/>
  <c r="N56" i="3"/>
  <c r="M56" i="3"/>
  <c r="AK56" i="3" s="1"/>
  <c r="L56" i="3"/>
  <c r="K56" i="3"/>
  <c r="H56"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BM55" i="3" s="1"/>
  <c r="AJ55" i="3"/>
  <c r="AI55" i="3"/>
  <c r="AH55" i="3"/>
  <c r="AF55" i="3"/>
  <c r="AE55" i="3"/>
  <c r="AD55" i="3"/>
  <c r="AC55" i="3"/>
  <c r="AB55" i="3"/>
  <c r="AA55" i="3"/>
  <c r="Z55" i="3"/>
  <c r="Y55" i="3"/>
  <c r="X55" i="3"/>
  <c r="W55" i="3"/>
  <c r="V55" i="3"/>
  <c r="U55" i="3"/>
  <c r="T55" i="3"/>
  <c r="S55" i="3"/>
  <c r="R55" i="3"/>
  <c r="Q55" i="3"/>
  <c r="P55" i="3"/>
  <c r="O55" i="3"/>
  <c r="N55" i="3"/>
  <c r="M55" i="3"/>
  <c r="L55" i="3"/>
  <c r="K55" i="3"/>
  <c r="H55" i="3"/>
  <c r="AG55" i="3" s="1"/>
  <c r="BL54" i="3"/>
  <c r="AJ54" i="3" s="1"/>
  <c r="BK54" i="3"/>
  <c r="BJ54" i="3"/>
  <c r="BI54" i="3"/>
  <c r="BH54" i="3"/>
  <c r="BG54" i="3"/>
  <c r="BF54" i="3"/>
  <c r="BE54" i="3"/>
  <c r="BD54" i="3"/>
  <c r="BC54" i="3"/>
  <c r="BB54" i="3"/>
  <c r="BA54" i="3"/>
  <c r="AZ54" i="3"/>
  <c r="AY54" i="3"/>
  <c r="AX54" i="3"/>
  <c r="AW54" i="3"/>
  <c r="AV54" i="3"/>
  <c r="AU54" i="3"/>
  <c r="AT54" i="3"/>
  <c r="AS54" i="3"/>
  <c r="AR54" i="3"/>
  <c r="AQ54" i="3"/>
  <c r="AP54" i="3"/>
  <c r="AO54" i="3"/>
  <c r="AN54" i="3"/>
  <c r="AM54" i="3"/>
  <c r="BM54" i="3" s="1"/>
  <c r="AF54" i="3"/>
  <c r="AE54" i="3"/>
  <c r="AD54" i="3"/>
  <c r="AC54" i="3"/>
  <c r="AB54" i="3"/>
  <c r="AA54" i="3"/>
  <c r="Z54" i="3"/>
  <c r="Y54" i="3"/>
  <c r="X54" i="3"/>
  <c r="W54" i="3"/>
  <c r="V54" i="3"/>
  <c r="U54" i="3"/>
  <c r="T54" i="3"/>
  <c r="S54" i="3"/>
  <c r="R54" i="3"/>
  <c r="Q54" i="3"/>
  <c r="P54" i="3"/>
  <c r="O54" i="3"/>
  <c r="N54" i="3"/>
  <c r="M54" i="3"/>
  <c r="L54" i="3"/>
  <c r="K54" i="3"/>
  <c r="H54" i="3"/>
  <c r="BL53" i="3"/>
  <c r="BK53" i="3"/>
  <c r="BJ53" i="3"/>
  <c r="BI53" i="3"/>
  <c r="BH53" i="3"/>
  <c r="BG53" i="3"/>
  <c r="BF53" i="3"/>
  <c r="BE53" i="3"/>
  <c r="BD53" i="3"/>
  <c r="BC53" i="3"/>
  <c r="BB53" i="3"/>
  <c r="BA53" i="3"/>
  <c r="AZ53" i="3"/>
  <c r="AY53" i="3"/>
  <c r="AX53" i="3"/>
  <c r="AW53" i="3"/>
  <c r="AV53" i="3"/>
  <c r="AU53" i="3"/>
  <c r="AT53" i="3"/>
  <c r="AS53" i="3"/>
  <c r="AR53" i="3"/>
  <c r="AQ53" i="3"/>
  <c r="AP53" i="3"/>
  <c r="AO53" i="3"/>
  <c r="BM53" i="3" s="1"/>
  <c r="AN53" i="3"/>
  <c r="AM53" i="3"/>
  <c r="AJ53" i="3"/>
  <c r="AI53" i="3"/>
  <c r="AH53" i="3"/>
  <c r="AG53" i="3"/>
  <c r="AE53" i="3"/>
  <c r="AD53" i="3"/>
  <c r="AC53" i="3"/>
  <c r="AB53" i="3"/>
  <c r="AA53" i="3"/>
  <c r="Z53" i="3"/>
  <c r="Y53" i="3"/>
  <c r="X53" i="3"/>
  <c r="W53" i="3"/>
  <c r="V53" i="3"/>
  <c r="U53" i="3"/>
  <c r="T53" i="3"/>
  <c r="S53" i="3"/>
  <c r="R53" i="3"/>
  <c r="Q53" i="3"/>
  <c r="P53" i="3"/>
  <c r="O53" i="3"/>
  <c r="N53" i="3"/>
  <c r="M53" i="3"/>
  <c r="L53" i="3"/>
  <c r="K53" i="3"/>
  <c r="AK53" i="3" s="1"/>
  <c r="H53" i="3"/>
  <c r="AF53" i="3" s="1"/>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BM52" i="3" s="1"/>
  <c r="AJ52" i="3"/>
  <c r="AI52" i="3"/>
  <c r="AH52" i="3"/>
  <c r="AG52" i="3"/>
  <c r="AE52" i="3"/>
  <c r="AD52" i="3"/>
  <c r="AC52" i="3"/>
  <c r="AB52" i="3"/>
  <c r="AA52" i="3"/>
  <c r="Z52" i="3"/>
  <c r="Y52" i="3"/>
  <c r="X52" i="3"/>
  <c r="W52" i="3"/>
  <c r="V52" i="3"/>
  <c r="U52" i="3"/>
  <c r="T52" i="3"/>
  <c r="S52" i="3"/>
  <c r="R52" i="3"/>
  <c r="Q52" i="3"/>
  <c r="P52" i="3"/>
  <c r="O52" i="3"/>
  <c r="N52" i="3"/>
  <c r="M52" i="3"/>
  <c r="L52" i="3"/>
  <c r="K52" i="3"/>
  <c r="H52" i="3"/>
  <c r="AF52" i="3" s="1"/>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BM51" i="3" s="1"/>
  <c r="AJ51" i="3"/>
  <c r="AI51" i="3"/>
  <c r="AH51" i="3"/>
  <c r="AG51" i="3"/>
  <c r="AF51" i="3"/>
  <c r="AE51" i="3"/>
  <c r="AD51" i="3"/>
  <c r="AC51" i="3"/>
  <c r="AB51" i="3"/>
  <c r="AA51" i="3"/>
  <c r="Z51" i="3"/>
  <c r="Y51" i="3"/>
  <c r="X51" i="3"/>
  <c r="W51" i="3"/>
  <c r="V51" i="3"/>
  <c r="U51" i="3"/>
  <c r="T51" i="3"/>
  <c r="S51" i="3"/>
  <c r="R51" i="3"/>
  <c r="Q51" i="3"/>
  <c r="P51" i="3"/>
  <c r="O51" i="3"/>
  <c r="N51" i="3"/>
  <c r="M51" i="3"/>
  <c r="L51" i="3"/>
  <c r="K51" i="3"/>
  <c r="AK51" i="3" s="1"/>
  <c r="H51" i="3"/>
  <c r="BL50" i="3"/>
  <c r="BK50" i="3"/>
  <c r="BJ50" i="3"/>
  <c r="AH50" i="3" s="1"/>
  <c r="BI50" i="3"/>
  <c r="BH50" i="3"/>
  <c r="BG50" i="3"/>
  <c r="BF50" i="3"/>
  <c r="AD50" i="3" s="1"/>
  <c r="BE50" i="3"/>
  <c r="BD50" i="3"/>
  <c r="BC50" i="3"/>
  <c r="BB50" i="3"/>
  <c r="BA50" i="3"/>
  <c r="AZ50" i="3"/>
  <c r="AY50" i="3"/>
  <c r="AX50" i="3"/>
  <c r="AW50" i="3"/>
  <c r="AV50" i="3"/>
  <c r="AU50" i="3"/>
  <c r="AT50" i="3"/>
  <c r="AS50" i="3"/>
  <c r="AR50" i="3"/>
  <c r="AQ50" i="3"/>
  <c r="AP50" i="3"/>
  <c r="AO50" i="3"/>
  <c r="AN50" i="3"/>
  <c r="BM50" i="3" s="1"/>
  <c r="AM50" i="3"/>
  <c r="AJ50" i="3"/>
  <c r="AC50" i="3"/>
  <c r="AB50" i="3"/>
  <c r="AA50" i="3"/>
  <c r="Z50" i="3"/>
  <c r="Y50" i="3"/>
  <c r="X50" i="3"/>
  <c r="W50" i="3"/>
  <c r="V50" i="3"/>
  <c r="U50" i="3"/>
  <c r="T50" i="3"/>
  <c r="S50" i="3"/>
  <c r="R50" i="3"/>
  <c r="Q50" i="3"/>
  <c r="P50" i="3"/>
  <c r="O50" i="3"/>
  <c r="N50" i="3"/>
  <c r="M50" i="3"/>
  <c r="L50" i="3"/>
  <c r="K50" i="3"/>
  <c r="H50"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BM49" i="3" s="1"/>
  <c r="AJ49" i="3"/>
  <c r="AI49" i="3"/>
  <c r="AH49" i="3"/>
  <c r="AG49" i="3"/>
  <c r="AF49" i="3"/>
  <c r="AE49" i="3"/>
  <c r="AD49" i="3"/>
  <c r="AB49" i="3"/>
  <c r="AA49" i="3"/>
  <c r="Z49" i="3"/>
  <c r="Y49" i="3"/>
  <c r="X49" i="3"/>
  <c r="W49" i="3"/>
  <c r="V49" i="3"/>
  <c r="U49" i="3"/>
  <c r="T49" i="3"/>
  <c r="S49" i="3"/>
  <c r="R49" i="3"/>
  <c r="Q49" i="3"/>
  <c r="P49" i="3"/>
  <c r="O49" i="3"/>
  <c r="N49" i="3"/>
  <c r="M49" i="3"/>
  <c r="L49" i="3"/>
  <c r="K49" i="3"/>
  <c r="H49" i="3"/>
  <c r="AC49" i="3" s="1"/>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BM48" i="3" s="1"/>
  <c r="AJ48" i="3"/>
  <c r="AI48" i="3"/>
  <c r="AH48" i="3"/>
  <c r="AG48" i="3"/>
  <c r="AF48" i="3"/>
  <c r="AE48" i="3"/>
  <c r="AD48" i="3"/>
  <c r="AC48" i="3"/>
  <c r="AA48" i="3"/>
  <c r="Z48" i="3"/>
  <c r="Y48" i="3"/>
  <c r="X48" i="3"/>
  <c r="W48" i="3"/>
  <c r="V48" i="3"/>
  <c r="U48" i="3"/>
  <c r="T48" i="3"/>
  <c r="S48" i="3"/>
  <c r="R48" i="3"/>
  <c r="Q48" i="3"/>
  <c r="P48" i="3"/>
  <c r="O48" i="3"/>
  <c r="N48" i="3"/>
  <c r="M48" i="3"/>
  <c r="L48" i="3"/>
  <c r="K48" i="3"/>
  <c r="H48" i="3"/>
  <c r="AB48" i="3" s="1"/>
  <c r="BL47" i="3"/>
  <c r="BK47" i="3"/>
  <c r="BJ47" i="3"/>
  <c r="BI47" i="3"/>
  <c r="BH47" i="3"/>
  <c r="BG47" i="3"/>
  <c r="BF47" i="3"/>
  <c r="BE47" i="3"/>
  <c r="BD47" i="3"/>
  <c r="BC47" i="3"/>
  <c r="BB47" i="3"/>
  <c r="BA47" i="3"/>
  <c r="AZ47" i="3"/>
  <c r="AY47" i="3"/>
  <c r="AX47" i="3"/>
  <c r="AW47" i="3"/>
  <c r="AV47" i="3"/>
  <c r="AU47" i="3"/>
  <c r="AT47" i="3"/>
  <c r="AS47" i="3"/>
  <c r="AR47" i="3"/>
  <c r="AQ47" i="3"/>
  <c r="AP47" i="3"/>
  <c r="AO47" i="3"/>
  <c r="BM47" i="3" s="1"/>
  <c r="AN47" i="3"/>
  <c r="AM47" i="3"/>
  <c r="AJ47" i="3"/>
  <c r="AI47" i="3"/>
  <c r="AH47" i="3"/>
  <c r="AG47" i="3"/>
  <c r="AF47" i="3"/>
  <c r="AE47" i="3"/>
  <c r="AD47" i="3"/>
  <c r="AC47" i="3"/>
  <c r="AA47" i="3"/>
  <c r="Z47" i="3"/>
  <c r="Y47" i="3"/>
  <c r="X47" i="3"/>
  <c r="W47" i="3"/>
  <c r="V47" i="3"/>
  <c r="U47" i="3"/>
  <c r="T47" i="3"/>
  <c r="S47" i="3"/>
  <c r="R47" i="3"/>
  <c r="Q47" i="3"/>
  <c r="P47" i="3"/>
  <c r="O47" i="3"/>
  <c r="N47" i="3"/>
  <c r="M47" i="3"/>
  <c r="L47" i="3"/>
  <c r="K47" i="3"/>
  <c r="H47" i="3"/>
  <c r="AB47" i="3" s="1"/>
  <c r="BL46" i="3"/>
  <c r="BK46" i="3"/>
  <c r="BJ46" i="3"/>
  <c r="BI46" i="3"/>
  <c r="BH46" i="3"/>
  <c r="AF46" i="3" s="1"/>
  <c r="BG46" i="3"/>
  <c r="BF46" i="3"/>
  <c r="BE46" i="3"/>
  <c r="BD46" i="3"/>
  <c r="AB46" i="3" s="1"/>
  <c r="BC46" i="3"/>
  <c r="BB46" i="3"/>
  <c r="Z46" i="3" s="1"/>
  <c r="BA46" i="3"/>
  <c r="AZ46" i="3"/>
  <c r="AY46" i="3"/>
  <c r="AX46" i="3"/>
  <c r="AW46" i="3"/>
  <c r="AV46" i="3"/>
  <c r="AU46" i="3"/>
  <c r="AT46" i="3"/>
  <c r="AS46" i="3"/>
  <c r="AR46" i="3"/>
  <c r="AQ46" i="3"/>
  <c r="AP46" i="3"/>
  <c r="AO46" i="3"/>
  <c r="AN46" i="3"/>
  <c r="BM46" i="3" s="1"/>
  <c r="AM46" i="3"/>
  <c r="AJ46" i="3"/>
  <c r="AI46" i="3"/>
  <c r="AH46" i="3"/>
  <c r="AG46" i="3"/>
  <c r="V46" i="3"/>
  <c r="U46" i="3"/>
  <c r="T46" i="3"/>
  <c r="S46" i="3"/>
  <c r="R46" i="3"/>
  <c r="Q46" i="3"/>
  <c r="P46" i="3"/>
  <c r="O46" i="3"/>
  <c r="N46" i="3"/>
  <c r="M46" i="3"/>
  <c r="L46" i="3"/>
  <c r="K46" i="3"/>
  <c r="H46"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BM45" i="3" s="1"/>
  <c r="AJ45" i="3"/>
  <c r="AI45" i="3"/>
  <c r="AH45" i="3"/>
  <c r="AG45" i="3"/>
  <c r="AF45" i="3"/>
  <c r="AE45" i="3"/>
  <c r="AD45" i="3"/>
  <c r="AC45" i="3"/>
  <c r="AB45" i="3"/>
  <c r="AA45" i="3"/>
  <c r="Z45" i="3"/>
  <c r="Y45" i="3"/>
  <c r="X45" i="3"/>
  <c r="W45" i="3"/>
  <c r="U45" i="3"/>
  <c r="T45" i="3"/>
  <c r="S45" i="3"/>
  <c r="R45" i="3"/>
  <c r="Q45" i="3"/>
  <c r="P45" i="3"/>
  <c r="O45" i="3"/>
  <c r="N45" i="3"/>
  <c r="M45" i="3"/>
  <c r="L45" i="3"/>
  <c r="K45" i="3"/>
  <c r="H45" i="3"/>
  <c r="V45" i="3" s="1"/>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BM44" i="3" s="1"/>
  <c r="AJ44" i="3"/>
  <c r="AI44" i="3"/>
  <c r="AH44" i="3"/>
  <c r="AG44" i="3"/>
  <c r="AF44" i="3"/>
  <c r="AE44" i="3"/>
  <c r="AD44" i="3"/>
  <c r="AC44" i="3"/>
  <c r="AB44" i="3"/>
  <c r="AA44" i="3"/>
  <c r="Z44" i="3"/>
  <c r="Y44" i="3"/>
  <c r="X44" i="3"/>
  <c r="W44" i="3"/>
  <c r="V44" i="3"/>
  <c r="U44" i="3"/>
  <c r="T44" i="3"/>
  <c r="S44" i="3"/>
  <c r="R44" i="3"/>
  <c r="Q44" i="3"/>
  <c r="P44" i="3"/>
  <c r="O44" i="3"/>
  <c r="N44" i="3"/>
  <c r="M44" i="3"/>
  <c r="AK44" i="3" s="1"/>
  <c r="L44" i="3"/>
  <c r="K44" i="3"/>
  <c r="H44"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BM43" i="3" s="1"/>
  <c r="AJ43" i="3"/>
  <c r="AI43" i="3"/>
  <c r="AH43" i="3"/>
  <c r="AG43" i="3"/>
  <c r="AF43" i="3"/>
  <c r="AE43" i="3"/>
  <c r="AD43" i="3"/>
  <c r="AC43" i="3"/>
  <c r="AB43" i="3"/>
  <c r="AA43" i="3"/>
  <c r="Z43" i="3"/>
  <c r="Y43" i="3"/>
  <c r="X43" i="3"/>
  <c r="W43" i="3"/>
  <c r="V43" i="3"/>
  <c r="T43" i="3"/>
  <c r="S43" i="3"/>
  <c r="R43" i="3"/>
  <c r="Q43" i="3"/>
  <c r="P43" i="3"/>
  <c r="O43" i="3"/>
  <c r="N43" i="3"/>
  <c r="M43" i="3"/>
  <c r="L43" i="3"/>
  <c r="K43" i="3"/>
  <c r="H43" i="3"/>
  <c r="U43" i="3" s="1"/>
  <c r="BL42" i="3"/>
  <c r="BK42" i="3"/>
  <c r="BJ42" i="3"/>
  <c r="BI42" i="3"/>
  <c r="BH42" i="3"/>
  <c r="BG42" i="3"/>
  <c r="BF42" i="3"/>
  <c r="BE42" i="3"/>
  <c r="BD42" i="3"/>
  <c r="AB42" i="3" s="1"/>
  <c r="BC42" i="3"/>
  <c r="BB42" i="3"/>
  <c r="Z42" i="3" s="1"/>
  <c r="BA42" i="3"/>
  <c r="AZ42" i="3"/>
  <c r="X42" i="3" s="1"/>
  <c r="AY42" i="3"/>
  <c r="AX42" i="3"/>
  <c r="AW42" i="3"/>
  <c r="AV42" i="3"/>
  <c r="AU42" i="3"/>
  <c r="AT42" i="3"/>
  <c r="AS42" i="3"/>
  <c r="AR42" i="3"/>
  <c r="AQ42" i="3"/>
  <c r="AP42" i="3"/>
  <c r="AO42" i="3"/>
  <c r="AN42" i="3"/>
  <c r="AM42" i="3"/>
  <c r="BM42" i="3" s="1"/>
  <c r="AJ42" i="3"/>
  <c r="AI42" i="3"/>
  <c r="AH42" i="3"/>
  <c r="AG42" i="3"/>
  <c r="AF42" i="3"/>
  <c r="AE42" i="3"/>
  <c r="AD42" i="3"/>
  <c r="AC42" i="3"/>
  <c r="V42" i="3"/>
  <c r="U42" i="3"/>
  <c r="T42" i="3"/>
  <c r="S42" i="3"/>
  <c r="R42" i="3"/>
  <c r="Q42" i="3"/>
  <c r="P42" i="3"/>
  <c r="O42" i="3"/>
  <c r="N42" i="3"/>
  <c r="M42" i="3"/>
  <c r="L42" i="3"/>
  <c r="K42" i="3"/>
  <c r="H42" i="3"/>
  <c r="BL41" i="3"/>
  <c r="BK41" i="3"/>
  <c r="BJ41" i="3"/>
  <c r="BI41" i="3"/>
  <c r="BH41" i="3"/>
  <c r="BG41" i="3"/>
  <c r="BF41" i="3"/>
  <c r="BE41" i="3"/>
  <c r="BD41" i="3"/>
  <c r="BC41" i="3"/>
  <c r="BB41" i="3"/>
  <c r="BA41" i="3"/>
  <c r="AZ41" i="3"/>
  <c r="AY41" i="3"/>
  <c r="AX41" i="3"/>
  <c r="AW41" i="3"/>
  <c r="AV41" i="3"/>
  <c r="AU41" i="3"/>
  <c r="AT41" i="3"/>
  <c r="AS41" i="3"/>
  <c r="AR41" i="3"/>
  <c r="AQ41" i="3"/>
  <c r="AP41" i="3"/>
  <c r="AO41" i="3"/>
  <c r="BM41" i="3" s="1"/>
  <c r="AN41" i="3"/>
  <c r="AM41" i="3"/>
  <c r="AJ41" i="3"/>
  <c r="AI41" i="3"/>
  <c r="AH41" i="3"/>
  <c r="AG41" i="3"/>
  <c r="AF41" i="3"/>
  <c r="AE41" i="3"/>
  <c r="AD41" i="3"/>
  <c r="AC41" i="3"/>
  <c r="AB41" i="3"/>
  <c r="AA41" i="3"/>
  <c r="Z41" i="3"/>
  <c r="Y41" i="3"/>
  <c r="X41" i="3"/>
  <c r="W41" i="3"/>
  <c r="U41" i="3"/>
  <c r="T41" i="3"/>
  <c r="S41" i="3"/>
  <c r="R41" i="3"/>
  <c r="Q41" i="3"/>
  <c r="P41" i="3"/>
  <c r="O41" i="3"/>
  <c r="N41" i="3"/>
  <c r="M41" i="3"/>
  <c r="L41" i="3"/>
  <c r="K41" i="3"/>
  <c r="H41" i="3"/>
  <c r="V41" i="3" s="1"/>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BM40" i="3" s="1"/>
  <c r="AJ40" i="3"/>
  <c r="AI40" i="3"/>
  <c r="AH40" i="3"/>
  <c r="AG40" i="3"/>
  <c r="AF40" i="3"/>
  <c r="AE40" i="3"/>
  <c r="AD40" i="3"/>
  <c r="AC40" i="3"/>
  <c r="AB40" i="3"/>
  <c r="AA40" i="3"/>
  <c r="Z40" i="3"/>
  <c r="Y40" i="3"/>
  <c r="X40" i="3"/>
  <c r="W40" i="3"/>
  <c r="U40" i="3"/>
  <c r="T40" i="3"/>
  <c r="S40" i="3"/>
  <c r="R40" i="3"/>
  <c r="Q40" i="3"/>
  <c r="P40" i="3"/>
  <c r="O40" i="3"/>
  <c r="N40" i="3"/>
  <c r="M40" i="3"/>
  <c r="L40" i="3"/>
  <c r="K40" i="3"/>
  <c r="H40" i="3"/>
  <c r="V40" i="3" s="1"/>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BM39" i="3" s="1"/>
  <c r="AJ39" i="3"/>
  <c r="AI39" i="3"/>
  <c r="AH39" i="3"/>
  <c r="AG39" i="3"/>
  <c r="AF39" i="3"/>
  <c r="AE39" i="3"/>
  <c r="AD39" i="3"/>
  <c r="AC39" i="3"/>
  <c r="AB39" i="3"/>
  <c r="AA39" i="3"/>
  <c r="Z39" i="3"/>
  <c r="Y39" i="3"/>
  <c r="X39" i="3"/>
  <c r="W39" i="3"/>
  <c r="U39" i="3"/>
  <c r="T39" i="3"/>
  <c r="S39" i="3"/>
  <c r="R39" i="3"/>
  <c r="Q39" i="3"/>
  <c r="P39" i="3"/>
  <c r="O39" i="3"/>
  <c r="N39" i="3"/>
  <c r="M39" i="3"/>
  <c r="L39" i="3"/>
  <c r="K39" i="3"/>
  <c r="H39" i="3"/>
  <c r="V39" i="3" s="1"/>
  <c r="BL38" i="3"/>
  <c r="BK38" i="3"/>
  <c r="BJ38" i="3"/>
  <c r="BI38" i="3"/>
  <c r="BH38" i="3"/>
  <c r="BG38" i="3"/>
  <c r="BF38" i="3"/>
  <c r="BE38" i="3"/>
  <c r="BD38" i="3"/>
  <c r="BC38" i="3"/>
  <c r="BB38" i="3"/>
  <c r="BA38" i="3"/>
  <c r="AZ38" i="3"/>
  <c r="AY38" i="3"/>
  <c r="AX38" i="3"/>
  <c r="AW38" i="3"/>
  <c r="AV38" i="3"/>
  <c r="AU38" i="3"/>
  <c r="AT38" i="3"/>
  <c r="AS38" i="3"/>
  <c r="AR38" i="3"/>
  <c r="AQ38" i="3"/>
  <c r="AP38" i="3"/>
  <c r="AO38" i="3"/>
  <c r="AN38" i="3"/>
  <c r="BM38" i="3" s="1"/>
  <c r="AM38" i="3"/>
  <c r="AJ38" i="3"/>
  <c r="AI38" i="3"/>
  <c r="AH38" i="3"/>
  <c r="AG38" i="3"/>
  <c r="AF38" i="3"/>
  <c r="X38" i="3"/>
  <c r="W38" i="3"/>
  <c r="V38" i="3"/>
  <c r="U38" i="3"/>
  <c r="T38" i="3"/>
  <c r="S38" i="3"/>
  <c r="R38" i="3"/>
  <c r="Q38" i="3"/>
  <c r="P38" i="3"/>
  <c r="O38" i="3"/>
  <c r="N38" i="3"/>
  <c r="M38" i="3"/>
  <c r="L38" i="3"/>
  <c r="K38" i="3"/>
  <c r="H38"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BM37" i="3" s="1"/>
  <c r="AJ37" i="3"/>
  <c r="AI37" i="3"/>
  <c r="AH37" i="3"/>
  <c r="AG37" i="3"/>
  <c r="AF37" i="3"/>
  <c r="AE37" i="3"/>
  <c r="AD37" i="3"/>
  <c r="AC37" i="3"/>
  <c r="AB37" i="3"/>
  <c r="AA37" i="3"/>
  <c r="Z37" i="3"/>
  <c r="Y37" i="3"/>
  <c r="V37" i="3"/>
  <c r="U37" i="3"/>
  <c r="T37" i="3"/>
  <c r="S37" i="3"/>
  <c r="R37" i="3"/>
  <c r="Q37" i="3"/>
  <c r="P37" i="3"/>
  <c r="O37" i="3"/>
  <c r="N37" i="3"/>
  <c r="M37" i="3"/>
  <c r="L37" i="3"/>
  <c r="K37" i="3"/>
  <c r="H37" i="3"/>
  <c r="X37" i="3" s="1"/>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BM36" i="3" s="1"/>
  <c r="AJ36" i="3"/>
  <c r="AI36" i="3"/>
  <c r="AH36" i="3"/>
  <c r="AG36" i="3"/>
  <c r="AF36" i="3"/>
  <c r="AE36" i="3"/>
  <c r="AD36" i="3"/>
  <c r="AC36" i="3"/>
  <c r="AB36" i="3"/>
  <c r="AA36" i="3"/>
  <c r="Z36" i="3"/>
  <c r="Y36" i="3"/>
  <c r="X36" i="3"/>
  <c r="W36" i="3"/>
  <c r="U36" i="3"/>
  <c r="T36" i="3"/>
  <c r="S36" i="3"/>
  <c r="R36" i="3"/>
  <c r="Q36" i="3"/>
  <c r="P36" i="3"/>
  <c r="O36" i="3"/>
  <c r="N36" i="3"/>
  <c r="M36" i="3"/>
  <c r="L36" i="3"/>
  <c r="K36" i="3"/>
  <c r="AK36" i="3" s="1"/>
  <c r="H36" i="3"/>
  <c r="V36" i="3" s="1"/>
  <c r="BL35" i="3"/>
  <c r="BK35" i="3"/>
  <c r="BJ35" i="3"/>
  <c r="BI35" i="3"/>
  <c r="BH35" i="3"/>
  <c r="BG35" i="3"/>
  <c r="BF35" i="3"/>
  <c r="BE35" i="3"/>
  <c r="BD35" i="3"/>
  <c r="BC35" i="3"/>
  <c r="BB35" i="3"/>
  <c r="BA35" i="3"/>
  <c r="AZ35" i="3"/>
  <c r="AY35" i="3"/>
  <c r="AX35" i="3"/>
  <c r="AW35" i="3"/>
  <c r="AV35" i="3"/>
  <c r="AU35" i="3"/>
  <c r="AT35" i="3"/>
  <c r="AS35" i="3"/>
  <c r="AR35" i="3"/>
  <c r="AQ35" i="3"/>
  <c r="AP35" i="3"/>
  <c r="AO35" i="3"/>
  <c r="BM35" i="3" s="1"/>
  <c r="AN35" i="3"/>
  <c r="AM35" i="3"/>
  <c r="AJ35" i="3"/>
  <c r="AI35" i="3"/>
  <c r="AH35" i="3"/>
  <c r="AG35" i="3"/>
  <c r="AF35" i="3"/>
  <c r="AE35" i="3"/>
  <c r="AD35" i="3"/>
  <c r="AC35" i="3"/>
  <c r="AB35" i="3"/>
  <c r="AA35" i="3"/>
  <c r="Z35" i="3"/>
  <c r="Y35" i="3"/>
  <c r="X35" i="3"/>
  <c r="W35" i="3"/>
  <c r="V35" i="3"/>
  <c r="T35" i="3"/>
  <c r="S35" i="3"/>
  <c r="R35" i="3"/>
  <c r="Q35" i="3"/>
  <c r="P35" i="3"/>
  <c r="O35" i="3"/>
  <c r="N35" i="3"/>
  <c r="M35" i="3"/>
  <c r="L35" i="3"/>
  <c r="K35" i="3"/>
  <c r="H35" i="3"/>
  <c r="U35" i="3" s="1"/>
  <c r="BL34" i="3"/>
  <c r="BK34" i="3"/>
  <c r="BJ34" i="3"/>
  <c r="BI34" i="3"/>
  <c r="BH34" i="3"/>
  <c r="BG34" i="3"/>
  <c r="BF34" i="3"/>
  <c r="BE34" i="3"/>
  <c r="BD34" i="3"/>
  <c r="BC34" i="3"/>
  <c r="BB34" i="3"/>
  <c r="BA34" i="3"/>
  <c r="AZ34" i="3"/>
  <c r="AY34" i="3"/>
  <c r="AX34" i="3"/>
  <c r="AW34" i="3"/>
  <c r="AV34" i="3"/>
  <c r="AU34" i="3"/>
  <c r="AT34" i="3"/>
  <c r="AS34" i="3"/>
  <c r="AR34" i="3"/>
  <c r="AQ34" i="3"/>
  <c r="AP34" i="3"/>
  <c r="AO34" i="3"/>
  <c r="AN34" i="3"/>
  <c r="BM34" i="3" s="1"/>
  <c r="AM34" i="3"/>
  <c r="AJ34" i="3"/>
  <c r="AI34" i="3"/>
  <c r="AH34" i="3"/>
  <c r="AG34" i="3"/>
  <c r="AF34" i="3"/>
  <c r="V34" i="3"/>
  <c r="U34" i="3"/>
  <c r="T34" i="3"/>
  <c r="S34" i="3"/>
  <c r="R34" i="3"/>
  <c r="Q34" i="3"/>
  <c r="P34" i="3"/>
  <c r="O34" i="3"/>
  <c r="N34" i="3"/>
  <c r="M34" i="3"/>
  <c r="L34" i="3"/>
  <c r="K34" i="3"/>
  <c r="H34"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BM33" i="3" s="1"/>
  <c r="AJ33" i="3"/>
  <c r="AI33" i="3"/>
  <c r="AH33" i="3"/>
  <c r="AG33" i="3"/>
  <c r="AF33" i="3"/>
  <c r="AE33" i="3"/>
  <c r="AD33" i="3"/>
  <c r="AC33" i="3"/>
  <c r="AB33" i="3"/>
  <c r="AA33" i="3"/>
  <c r="Z33" i="3"/>
  <c r="Y33" i="3"/>
  <c r="X33" i="3"/>
  <c r="W33" i="3"/>
  <c r="U33" i="3"/>
  <c r="T33" i="3"/>
  <c r="S33" i="3"/>
  <c r="R33" i="3"/>
  <c r="Q33" i="3"/>
  <c r="P33" i="3"/>
  <c r="O33" i="3"/>
  <c r="N33" i="3"/>
  <c r="M33" i="3"/>
  <c r="L33" i="3"/>
  <c r="K33" i="3"/>
  <c r="H33" i="3"/>
  <c r="V33" i="3" s="1"/>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BM32" i="3" s="1"/>
  <c r="AJ32" i="3"/>
  <c r="AI32" i="3"/>
  <c r="AH32" i="3"/>
  <c r="AG32" i="3"/>
  <c r="AF32" i="3"/>
  <c r="AE32" i="3"/>
  <c r="AD32" i="3"/>
  <c r="AC32" i="3"/>
  <c r="AB32" i="3"/>
  <c r="AA32" i="3"/>
  <c r="Z32" i="3"/>
  <c r="Y32" i="3"/>
  <c r="X32" i="3"/>
  <c r="W32" i="3"/>
  <c r="V32" i="3"/>
  <c r="U32" i="3"/>
  <c r="T32" i="3"/>
  <c r="S32" i="3"/>
  <c r="R32" i="3"/>
  <c r="Q32" i="3"/>
  <c r="P32" i="3"/>
  <c r="O32" i="3"/>
  <c r="N32" i="3"/>
  <c r="M32" i="3"/>
  <c r="AK32" i="3" s="1"/>
  <c r="L32" i="3"/>
  <c r="K32" i="3"/>
  <c r="H32"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BM31" i="3" s="1"/>
  <c r="AJ31" i="3"/>
  <c r="AI31" i="3"/>
  <c r="AH31" i="3"/>
  <c r="AG31" i="3"/>
  <c r="AF31" i="3"/>
  <c r="AE31" i="3"/>
  <c r="AD31" i="3"/>
  <c r="AC31" i="3"/>
  <c r="AB31" i="3"/>
  <c r="AA31" i="3"/>
  <c r="Z31" i="3"/>
  <c r="Y31" i="3"/>
  <c r="X31" i="3"/>
  <c r="W31" i="3"/>
  <c r="V31" i="3"/>
  <c r="T31" i="3"/>
  <c r="S31" i="3"/>
  <c r="R31" i="3"/>
  <c r="Q31" i="3"/>
  <c r="P31" i="3"/>
  <c r="O31" i="3"/>
  <c r="N31" i="3"/>
  <c r="M31" i="3"/>
  <c r="L31" i="3"/>
  <c r="AK31" i="3" s="1"/>
  <c r="K31" i="3"/>
  <c r="H31" i="3"/>
  <c r="U31" i="3" s="1"/>
  <c r="BL30" i="3"/>
  <c r="BK30" i="3"/>
  <c r="BJ30" i="3"/>
  <c r="BI30" i="3"/>
  <c r="BH30" i="3"/>
  <c r="BG30" i="3"/>
  <c r="BF30" i="3"/>
  <c r="AD30" i="3" s="1"/>
  <c r="BE30" i="3"/>
  <c r="BD30" i="3"/>
  <c r="BC30" i="3"/>
  <c r="BB30" i="3"/>
  <c r="Z30" i="3" s="1"/>
  <c r="BA30" i="3"/>
  <c r="AZ30" i="3"/>
  <c r="AY30" i="3"/>
  <c r="AX30" i="3"/>
  <c r="AW30" i="3"/>
  <c r="AV30" i="3"/>
  <c r="AU30" i="3"/>
  <c r="AT30" i="3"/>
  <c r="AS30" i="3"/>
  <c r="AR30" i="3"/>
  <c r="AQ30" i="3"/>
  <c r="AP30" i="3"/>
  <c r="AO30" i="3"/>
  <c r="AN30" i="3"/>
  <c r="AM30" i="3"/>
  <c r="BM30" i="3" s="1"/>
  <c r="AJ30" i="3"/>
  <c r="AI30" i="3"/>
  <c r="AH30" i="3"/>
  <c r="AG30" i="3"/>
  <c r="V30" i="3"/>
  <c r="U30" i="3"/>
  <c r="T30" i="3"/>
  <c r="S30" i="3"/>
  <c r="R30" i="3"/>
  <c r="Q30" i="3"/>
  <c r="P30" i="3"/>
  <c r="O30" i="3"/>
  <c r="N30" i="3"/>
  <c r="M30" i="3"/>
  <c r="L30" i="3"/>
  <c r="K30" i="3"/>
  <c r="H30" i="3"/>
  <c r="BL29" i="3"/>
  <c r="BK29" i="3"/>
  <c r="BJ29" i="3"/>
  <c r="BI29" i="3"/>
  <c r="BH29" i="3"/>
  <c r="BG29" i="3"/>
  <c r="BF29" i="3"/>
  <c r="BE29" i="3"/>
  <c r="BD29" i="3"/>
  <c r="BC29" i="3"/>
  <c r="BB29" i="3"/>
  <c r="BA29" i="3"/>
  <c r="AZ29" i="3"/>
  <c r="AY29" i="3"/>
  <c r="AX29" i="3"/>
  <c r="AW29" i="3"/>
  <c r="AV29" i="3"/>
  <c r="AU29" i="3"/>
  <c r="AT29" i="3"/>
  <c r="AS29" i="3"/>
  <c r="AR29" i="3"/>
  <c r="AQ29" i="3"/>
  <c r="AP29" i="3"/>
  <c r="AO29" i="3"/>
  <c r="BM29" i="3" s="1"/>
  <c r="AN29" i="3"/>
  <c r="AM29" i="3"/>
  <c r="AJ29" i="3"/>
  <c r="AI29" i="3"/>
  <c r="AH29" i="3"/>
  <c r="AG29" i="3"/>
  <c r="AF29" i="3"/>
  <c r="AE29" i="3"/>
  <c r="AD29" i="3"/>
  <c r="AC29" i="3"/>
  <c r="AB29" i="3"/>
  <c r="AA29" i="3"/>
  <c r="Z29" i="3"/>
  <c r="Y29" i="3"/>
  <c r="X29" i="3"/>
  <c r="W29" i="3"/>
  <c r="S29" i="3"/>
  <c r="R29" i="3"/>
  <c r="Q29" i="3"/>
  <c r="P29" i="3"/>
  <c r="O29" i="3"/>
  <c r="N29" i="3"/>
  <c r="M29" i="3"/>
  <c r="L29" i="3"/>
  <c r="K29" i="3"/>
  <c r="H29" i="3"/>
  <c r="U29" i="3" s="1"/>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BM28" i="3" s="1"/>
  <c r="AJ28" i="3"/>
  <c r="AI28" i="3"/>
  <c r="AH28" i="3"/>
  <c r="AG28" i="3"/>
  <c r="AF28" i="3"/>
  <c r="AE28" i="3"/>
  <c r="AD28" i="3"/>
  <c r="AC28" i="3"/>
  <c r="AB28" i="3"/>
  <c r="AA28" i="3"/>
  <c r="Z28" i="3"/>
  <c r="Y28" i="3"/>
  <c r="X28" i="3"/>
  <c r="W28" i="3"/>
  <c r="V28" i="3"/>
  <c r="U28" i="3"/>
  <c r="T28" i="3"/>
  <c r="S28" i="3"/>
  <c r="R28" i="3"/>
  <c r="Q28" i="3"/>
  <c r="P28" i="3"/>
  <c r="O28" i="3"/>
  <c r="N28" i="3"/>
  <c r="M28" i="3"/>
  <c r="L28" i="3"/>
  <c r="K28" i="3"/>
  <c r="AK28" i="3" s="1"/>
  <c r="H28"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BM27" i="3" s="1"/>
  <c r="AJ27" i="3"/>
  <c r="AI27" i="3"/>
  <c r="AH27" i="3"/>
  <c r="AG27" i="3"/>
  <c r="AF27" i="3"/>
  <c r="AE27" i="3"/>
  <c r="AD27" i="3"/>
  <c r="AC27" i="3"/>
  <c r="AB27" i="3"/>
  <c r="AA27" i="3"/>
  <c r="Z27" i="3"/>
  <c r="Y27" i="3"/>
  <c r="X27" i="3"/>
  <c r="W27" i="3"/>
  <c r="V27" i="3"/>
  <c r="U27" i="3"/>
  <c r="T27" i="3"/>
  <c r="S27" i="3"/>
  <c r="R27" i="3"/>
  <c r="Q27" i="3"/>
  <c r="P27" i="3"/>
  <c r="O27" i="3"/>
  <c r="N27" i="3"/>
  <c r="M27" i="3"/>
  <c r="L27" i="3"/>
  <c r="K27" i="3"/>
  <c r="AK27" i="3" s="1"/>
  <c r="H27"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BM26" i="3" s="1"/>
  <c r="AI26" i="3" s="1"/>
  <c r="AM26" i="3"/>
  <c r="AH26" i="3"/>
  <c r="AG26" i="3"/>
  <c r="AF26" i="3"/>
  <c r="AE26" i="3"/>
  <c r="AD26" i="3"/>
  <c r="AC26" i="3"/>
  <c r="AB26" i="3"/>
  <c r="AA26" i="3"/>
  <c r="Z26" i="3"/>
  <c r="Y26" i="3"/>
  <c r="X26" i="3"/>
  <c r="W26" i="3"/>
  <c r="V26" i="3"/>
  <c r="U26" i="3"/>
  <c r="T26" i="3"/>
  <c r="S26" i="3"/>
  <c r="R26" i="3"/>
  <c r="Q26" i="3"/>
  <c r="P26" i="3"/>
  <c r="O26" i="3"/>
  <c r="N26" i="3"/>
  <c r="M26" i="3"/>
  <c r="L26" i="3"/>
  <c r="K26" i="3"/>
  <c r="H26"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BM25" i="3" s="1"/>
  <c r="AJ25" i="3"/>
  <c r="AI25" i="3"/>
  <c r="AG25" i="3"/>
  <c r="AF25" i="3"/>
  <c r="AE25" i="3"/>
  <c r="AD25" i="3"/>
  <c r="AC25" i="3"/>
  <c r="AB25" i="3"/>
  <c r="AA25" i="3"/>
  <c r="Z25" i="3"/>
  <c r="Y25" i="3"/>
  <c r="X25" i="3"/>
  <c r="W25" i="3"/>
  <c r="V25" i="3"/>
  <c r="U25" i="3"/>
  <c r="T25" i="3"/>
  <c r="S25" i="3"/>
  <c r="R25" i="3"/>
  <c r="Q25" i="3"/>
  <c r="P25" i="3"/>
  <c r="O25" i="3"/>
  <c r="N25" i="3"/>
  <c r="M25" i="3"/>
  <c r="L25" i="3"/>
  <c r="K25" i="3"/>
  <c r="H25" i="3"/>
  <c r="AH25" i="3" s="1"/>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BM24" i="3" s="1"/>
  <c r="AJ24" i="3"/>
  <c r="AI24" i="3"/>
  <c r="AH24" i="3"/>
  <c r="AG24" i="3"/>
  <c r="AF24" i="3"/>
  <c r="AE24" i="3"/>
  <c r="AD24" i="3"/>
  <c r="AC24" i="3"/>
  <c r="AB24" i="3"/>
  <c r="AA24" i="3"/>
  <c r="Z24" i="3"/>
  <c r="Y24" i="3"/>
  <c r="X24" i="3"/>
  <c r="W24" i="3"/>
  <c r="V24" i="3"/>
  <c r="U24" i="3"/>
  <c r="T24" i="3"/>
  <c r="S24" i="3"/>
  <c r="R24" i="3"/>
  <c r="Q24" i="3"/>
  <c r="P24" i="3"/>
  <c r="O24" i="3"/>
  <c r="N24" i="3"/>
  <c r="M24" i="3"/>
  <c r="L24" i="3"/>
  <c r="K24" i="3"/>
  <c r="AK24" i="3" s="1"/>
  <c r="H24" i="3"/>
  <c r="BL23" i="3"/>
  <c r="BK23" i="3"/>
  <c r="BJ23" i="3"/>
  <c r="BI23" i="3"/>
  <c r="BH23" i="3"/>
  <c r="BG23" i="3"/>
  <c r="BF23" i="3"/>
  <c r="BE23" i="3"/>
  <c r="BD23" i="3"/>
  <c r="BC23" i="3"/>
  <c r="BB23" i="3"/>
  <c r="BA23" i="3"/>
  <c r="AZ23" i="3"/>
  <c r="AY23" i="3"/>
  <c r="AX23" i="3"/>
  <c r="AW23" i="3"/>
  <c r="AV23" i="3"/>
  <c r="AU23" i="3"/>
  <c r="AT23" i="3"/>
  <c r="AS23" i="3"/>
  <c r="AR23" i="3"/>
  <c r="AQ23" i="3"/>
  <c r="AP23" i="3"/>
  <c r="AO23" i="3"/>
  <c r="BM23" i="3" s="1"/>
  <c r="AN23" i="3"/>
  <c r="AM23" i="3"/>
  <c r="AJ23" i="3"/>
  <c r="AI23" i="3"/>
  <c r="AH23" i="3"/>
  <c r="AG23" i="3"/>
  <c r="AE23" i="3"/>
  <c r="AD23" i="3"/>
  <c r="AC23" i="3"/>
  <c r="AB23" i="3"/>
  <c r="AA23" i="3"/>
  <c r="Z23" i="3"/>
  <c r="Y23" i="3"/>
  <c r="X23" i="3"/>
  <c r="W23" i="3"/>
  <c r="V23" i="3"/>
  <c r="U23" i="3"/>
  <c r="T23" i="3"/>
  <c r="S23" i="3"/>
  <c r="R23" i="3"/>
  <c r="Q23" i="3"/>
  <c r="P23" i="3"/>
  <c r="O23" i="3"/>
  <c r="N23" i="3"/>
  <c r="M23" i="3"/>
  <c r="L23" i="3"/>
  <c r="K23" i="3"/>
  <c r="H23" i="3"/>
  <c r="AF23" i="3" s="1"/>
  <c r="BL22" i="3"/>
  <c r="BK22" i="3"/>
  <c r="BJ22" i="3"/>
  <c r="AH22" i="3" s="1"/>
  <c r="BI22" i="3"/>
  <c r="BH22" i="3"/>
  <c r="BG22" i="3"/>
  <c r="BF22" i="3"/>
  <c r="BE22" i="3"/>
  <c r="BD22" i="3"/>
  <c r="BC22" i="3"/>
  <c r="BB22" i="3"/>
  <c r="BA22" i="3"/>
  <c r="AZ22" i="3"/>
  <c r="AY22" i="3"/>
  <c r="AX22" i="3"/>
  <c r="AW22" i="3"/>
  <c r="AV22" i="3"/>
  <c r="AU22" i="3"/>
  <c r="AT22" i="3"/>
  <c r="AS22" i="3"/>
  <c r="AR22" i="3"/>
  <c r="AQ22" i="3"/>
  <c r="AP22" i="3"/>
  <c r="AO22" i="3"/>
  <c r="AN22" i="3"/>
  <c r="BM22" i="3" s="1"/>
  <c r="AM22" i="3"/>
  <c r="AF22" i="3"/>
  <c r="AE22" i="3"/>
  <c r="AD22" i="3"/>
  <c r="AC22" i="3"/>
  <c r="AB22" i="3"/>
  <c r="AA22" i="3"/>
  <c r="Z22" i="3"/>
  <c r="Y22" i="3"/>
  <c r="X22" i="3"/>
  <c r="W22" i="3"/>
  <c r="V22" i="3"/>
  <c r="U22" i="3"/>
  <c r="T22" i="3"/>
  <c r="S22" i="3"/>
  <c r="R22" i="3"/>
  <c r="Q22" i="3"/>
  <c r="P22" i="3"/>
  <c r="O22" i="3"/>
  <c r="N22" i="3"/>
  <c r="M22" i="3"/>
  <c r="L22" i="3"/>
  <c r="K22" i="3"/>
  <c r="H22"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BM21" i="3" s="1"/>
  <c r="AJ21" i="3"/>
  <c r="AI21" i="3"/>
  <c r="AH21" i="3"/>
  <c r="AG21" i="3"/>
  <c r="AF21" i="3"/>
  <c r="AE21" i="3"/>
  <c r="AD21" i="3"/>
  <c r="AC21" i="3"/>
  <c r="AB21" i="3"/>
  <c r="AA21" i="3"/>
  <c r="Z21" i="3"/>
  <c r="Y21" i="3"/>
  <c r="X21" i="3"/>
  <c r="W21" i="3"/>
  <c r="V21" i="3"/>
  <c r="U21" i="3"/>
  <c r="T21" i="3"/>
  <c r="S21" i="3"/>
  <c r="R21" i="3"/>
  <c r="Q21" i="3"/>
  <c r="P21" i="3"/>
  <c r="O21" i="3"/>
  <c r="N21" i="3"/>
  <c r="M21" i="3"/>
  <c r="L21" i="3"/>
  <c r="K21" i="3"/>
  <c r="AK21" i="3" s="1"/>
  <c r="H21"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M20" i="3"/>
  <c r="BM20" i="3" s="1"/>
  <c r="AJ20" i="3"/>
  <c r="AI20" i="3"/>
  <c r="AH20" i="3"/>
  <c r="AG20" i="3"/>
  <c r="AF20" i="3"/>
  <c r="AE20" i="3"/>
  <c r="AD20" i="3"/>
  <c r="AC20" i="3"/>
  <c r="AB20" i="3"/>
  <c r="AA20" i="3"/>
  <c r="Z20" i="3"/>
  <c r="Y20" i="3"/>
  <c r="X20" i="3"/>
  <c r="W20" i="3"/>
  <c r="V20" i="3"/>
  <c r="U20" i="3"/>
  <c r="T20" i="3"/>
  <c r="S20" i="3"/>
  <c r="R20" i="3"/>
  <c r="Q20" i="3"/>
  <c r="P20" i="3"/>
  <c r="O20" i="3"/>
  <c r="N20" i="3"/>
  <c r="M20" i="3"/>
  <c r="AK20" i="3" s="1"/>
  <c r="L20" i="3"/>
  <c r="K20" i="3"/>
  <c r="H20"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BM19" i="3" s="1"/>
  <c r="AJ19" i="3"/>
  <c r="AI19" i="3"/>
  <c r="AH19" i="3"/>
  <c r="AG19" i="3"/>
  <c r="AF19" i="3"/>
  <c r="AD19" i="3"/>
  <c r="AC19" i="3"/>
  <c r="AB19" i="3"/>
  <c r="AA19" i="3"/>
  <c r="Z19" i="3"/>
  <c r="Y19" i="3"/>
  <c r="X19" i="3"/>
  <c r="W19" i="3"/>
  <c r="V19" i="3"/>
  <c r="U19" i="3"/>
  <c r="T19" i="3"/>
  <c r="S19" i="3"/>
  <c r="R19" i="3"/>
  <c r="Q19" i="3"/>
  <c r="P19" i="3"/>
  <c r="O19" i="3"/>
  <c r="N19" i="3"/>
  <c r="M19" i="3"/>
  <c r="L19" i="3"/>
  <c r="K19" i="3"/>
  <c r="H19" i="3"/>
  <c r="AE19" i="3" s="1"/>
  <c r="BL18" i="3"/>
  <c r="BK18" i="3"/>
  <c r="BJ18" i="3"/>
  <c r="BI18" i="3"/>
  <c r="BH18" i="3"/>
  <c r="AF18" i="3" s="1"/>
  <c r="BG18" i="3"/>
  <c r="BF18" i="3"/>
  <c r="BE18" i="3"/>
  <c r="BD18" i="3"/>
  <c r="AB18" i="3" s="1"/>
  <c r="BC18" i="3"/>
  <c r="BB18" i="3"/>
  <c r="BA18" i="3"/>
  <c r="AZ18" i="3"/>
  <c r="AY18" i="3"/>
  <c r="AX18" i="3"/>
  <c r="AW18" i="3"/>
  <c r="AV18" i="3"/>
  <c r="AU18" i="3"/>
  <c r="AT18" i="3"/>
  <c r="AS18" i="3"/>
  <c r="AR18" i="3"/>
  <c r="AQ18" i="3"/>
  <c r="AP18" i="3"/>
  <c r="AO18" i="3"/>
  <c r="AN18" i="3"/>
  <c r="AM18" i="3"/>
  <c r="BM18" i="3" s="1"/>
  <c r="AJ18" i="3"/>
  <c r="AI18" i="3"/>
  <c r="V18" i="3"/>
  <c r="U18" i="3"/>
  <c r="T18" i="3"/>
  <c r="S18" i="3"/>
  <c r="R18" i="3"/>
  <c r="Q18" i="3"/>
  <c r="P18" i="3"/>
  <c r="O18" i="3"/>
  <c r="N18" i="3"/>
  <c r="M18" i="3"/>
  <c r="L18" i="3"/>
  <c r="K18" i="3"/>
  <c r="H18" i="3"/>
  <c r="BL17" i="3"/>
  <c r="BK17" i="3"/>
  <c r="BJ17" i="3"/>
  <c r="BI17" i="3"/>
  <c r="BH17" i="3"/>
  <c r="BG17" i="3"/>
  <c r="BF17" i="3"/>
  <c r="BE17" i="3"/>
  <c r="BD17" i="3"/>
  <c r="BC17" i="3"/>
  <c r="BB17" i="3"/>
  <c r="BA17" i="3"/>
  <c r="AZ17" i="3"/>
  <c r="AY17" i="3"/>
  <c r="AX17" i="3"/>
  <c r="AW17" i="3"/>
  <c r="AV17" i="3"/>
  <c r="AU17" i="3"/>
  <c r="AT17" i="3"/>
  <c r="AS17" i="3"/>
  <c r="AR17" i="3"/>
  <c r="AQ17" i="3"/>
  <c r="AP17" i="3"/>
  <c r="AO17" i="3"/>
  <c r="BM17" i="3" s="1"/>
  <c r="AN17" i="3"/>
  <c r="AM17" i="3"/>
  <c r="AJ17" i="3"/>
  <c r="AI17" i="3"/>
  <c r="AH17" i="3"/>
  <c r="AG17" i="3"/>
  <c r="AF17" i="3"/>
  <c r="AE17" i="3"/>
  <c r="AD17" i="3"/>
  <c r="AC17" i="3"/>
  <c r="AB17" i="3"/>
  <c r="AA17" i="3"/>
  <c r="Z17" i="3"/>
  <c r="Y17" i="3"/>
  <c r="X17" i="3"/>
  <c r="W17" i="3"/>
  <c r="U17" i="3"/>
  <c r="T17" i="3"/>
  <c r="S17" i="3"/>
  <c r="R17" i="3"/>
  <c r="Q17" i="3"/>
  <c r="P17" i="3"/>
  <c r="O17" i="3"/>
  <c r="N17" i="3"/>
  <c r="M17" i="3"/>
  <c r="L17" i="3"/>
  <c r="K17" i="3"/>
  <c r="AK17" i="3" s="1"/>
  <c r="H17" i="3"/>
  <c r="V17" i="3" s="1"/>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BM16" i="3" s="1"/>
  <c r="AJ16" i="3"/>
  <c r="AI16" i="3"/>
  <c r="AH16" i="3"/>
  <c r="AG16" i="3"/>
  <c r="AF16" i="3"/>
  <c r="AE16" i="3"/>
  <c r="AD16" i="3"/>
  <c r="AC16" i="3"/>
  <c r="AB16" i="3"/>
  <c r="AA16" i="3"/>
  <c r="Z16" i="3"/>
  <c r="Y16" i="3"/>
  <c r="X16" i="3"/>
  <c r="W16" i="3"/>
  <c r="V16" i="3"/>
  <c r="U16" i="3"/>
  <c r="T16" i="3"/>
  <c r="S16" i="3"/>
  <c r="R16" i="3"/>
  <c r="Q16" i="3"/>
  <c r="P16" i="3"/>
  <c r="O16" i="3"/>
  <c r="N16" i="3"/>
  <c r="M16" i="3"/>
  <c r="L16" i="3"/>
  <c r="K16" i="3"/>
  <c r="AK16" i="3" s="1"/>
  <c r="H16"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BM15" i="3" s="1"/>
  <c r="AJ15" i="3"/>
  <c r="AI15" i="3"/>
  <c r="AH15" i="3"/>
  <c r="AG15" i="3"/>
  <c r="AF15" i="3"/>
  <c r="AE15" i="3"/>
  <c r="AD15" i="3"/>
  <c r="AC15" i="3"/>
  <c r="AB15" i="3"/>
  <c r="AA15" i="3"/>
  <c r="Z15" i="3"/>
  <c r="Y15" i="3"/>
  <c r="X15" i="3"/>
  <c r="W15" i="3"/>
  <c r="V15" i="3"/>
  <c r="U15" i="3"/>
  <c r="T15" i="3"/>
  <c r="S15" i="3"/>
  <c r="R15" i="3"/>
  <c r="Q15" i="3"/>
  <c r="P15" i="3"/>
  <c r="O15" i="3"/>
  <c r="N15" i="3"/>
  <c r="M15" i="3"/>
  <c r="L15" i="3"/>
  <c r="K15" i="3"/>
  <c r="AK15" i="3" s="1"/>
  <c r="H15"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BM14" i="3" s="1"/>
  <c r="AM14" i="3"/>
  <c r="AJ14" i="3"/>
  <c r="AI14" i="3"/>
  <c r="AH14" i="3"/>
  <c r="AG14" i="3"/>
  <c r="AF14" i="3"/>
  <c r="AE14" i="3"/>
  <c r="AD14" i="3"/>
  <c r="AC14" i="3"/>
  <c r="AB14" i="3"/>
  <c r="AA14" i="3"/>
  <c r="Z14" i="3"/>
  <c r="Y14" i="3"/>
  <c r="X14" i="3"/>
  <c r="W14" i="3"/>
  <c r="V14" i="3"/>
  <c r="U14" i="3"/>
  <c r="T14" i="3"/>
  <c r="S14" i="3"/>
  <c r="R14" i="3"/>
  <c r="Q14" i="3"/>
  <c r="P14" i="3"/>
  <c r="O14" i="3"/>
  <c r="N14" i="3"/>
  <c r="M14" i="3"/>
  <c r="AK14" i="3" s="1"/>
  <c r="L14" i="3"/>
  <c r="K14" i="3"/>
  <c r="H14"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BM13" i="3" s="1"/>
  <c r="AJ13" i="3"/>
  <c r="AI13" i="3"/>
  <c r="AH13" i="3"/>
  <c r="AG13" i="3"/>
  <c r="AF13" i="3"/>
  <c r="AE13" i="3"/>
  <c r="AD13" i="3"/>
  <c r="AC13" i="3"/>
  <c r="AB13" i="3"/>
  <c r="AA13" i="3"/>
  <c r="Z13" i="3"/>
  <c r="Y13" i="3"/>
  <c r="X13" i="3"/>
  <c r="W13" i="3"/>
  <c r="V13" i="3"/>
  <c r="U13" i="3"/>
  <c r="T13" i="3"/>
  <c r="S13" i="3"/>
  <c r="P13" i="3"/>
  <c r="O13" i="3"/>
  <c r="N13" i="3"/>
  <c r="M13" i="3"/>
  <c r="L13" i="3"/>
  <c r="K13" i="3"/>
  <c r="H13" i="3"/>
  <c r="R13" i="3" s="1"/>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BM12" i="3" s="1"/>
  <c r="AJ12" i="3"/>
  <c r="AI12" i="3"/>
  <c r="AH12" i="3"/>
  <c r="AG12" i="3"/>
  <c r="AF12" i="3"/>
  <c r="AE12" i="3"/>
  <c r="AD12" i="3"/>
  <c r="AC12" i="3"/>
  <c r="AB12" i="3"/>
  <c r="AA12" i="3"/>
  <c r="Z12" i="3"/>
  <c r="Y12" i="3"/>
  <c r="X12" i="3"/>
  <c r="W12" i="3"/>
  <c r="V12" i="3"/>
  <c r="U12" i="3"/>
  <c r="T12" i="3"/>
  <c r="S12" i="3"/>
  <c r="R12" i="3"/>
  <c r="Q12" i="3"/>
  <c r="P12" i="3"/>
  <c r="O12" i="3"/>
  <c r="N12" i="3"/>
  <c r="M12" i="3"/>
  <c r="L12" i="3"/>
  <c r="K12" i="3"/>
  <c r="AK12" i="3" s="1"/>
  <c r="H12" i="3"/>
  <c r="BL11" i="3"/>
  <c r="BK11" i="3"/>
  <c r="BJ11" i="3"/>
  <c r="BI11" i="3"/>
  <c r="BH11" i="3"/>
  <c r="BG11" i="3"/>
  <c r="BF11" i="3"/>
  <c r="BE11" i="3"/>
  <c r="BD11" i="3"/>
  <c r="BC11" i="3"/>
  <c r="BB11" i="3"/>
  <c r="BA11" i="3"/>
  <c r="AZ11" i="3"/>
  <c r="AY11" i="3"/>
  <c r="AX11" i="3"/>
  <c r="AW11" i="3"/>
  <c r="AV11" i="3"/>
  <c r="AU11" i="3"/>
  <c r="AT11" i="3"/>
  <c r="AS11" i="3"/>
  <c r="AR11" i="3"/>
  <c r="AQ11" i="3"/>
  <c r="AP11" i="3"/>
  <c r="AO11" i="3"/>
  <c r="BM11" i="3" s="1"/>
  <c r="AN11" i="3"/>
  <c r="AM11" i="3"/>
  <c r="AJ11" i="3"/>
  <c r="AI11" i="3"/>
  <c r="AH11" i="3"/>
  <c r="AG11" i="3"/>
  <c r="AF11" i="3"/>
  <c r="AE11" i="3"/>
  <c r="AD11" i="3"/>
  <c r="AC11" i="3"/>
  <c r="AB11" i="3"/>
  <c r="AA11" i="3"/>
  <c r="Z11" i="3"/>
  <c r="Y11" i="3"/>
  <c r="X11" i="3"/>
  <c r="W11" i="3"/>
  <c r="V11" i="3"/>
  <c r="U11" i="3"/>
  <c r="T11" i="3"/>
  <c r="S11" i="3"/>
  <c r="R11" i="3"/>
  <c r="Q11" i="3"/>
  <c r="P11" i="3"/>
  <c r="O11" i="3"/>
  <c r="M11" i="3"/>
  <c r="L11" i="3"/>
  <c r="K11" i="3"/>
  <c r="H11" i="3"/>
  <c r="N11" i="3" s="1"/>
  <c r="BL10" i="3"/>
  <c r="BK10" i="3"/>
  <c r="BJ10" i="3"/>
  <c r="BI10" i="3"/>
  <c r="BH10" i="3"/>
  <c r="BG10" i="3"/>
  <c r="BF10" i="3"/>
  <c r="BE10" i="3"/>
  <c r="BD10" i="3"/>
  <c r="BC10" i="3"/>
  <c r="BB10" i="3"/>
  <c r="BA10" i="3"/>
  <c r="AZ10" i="3"/>
  <c r="AY10" i="3"/>
  <c r="AX10" i="3"/>
  <c r="AW10" i="3"/>
  <c r="AV10" i="3"/>
  <c r="AU10" i="3"/>
  <c r="AT10" i="3"/>
  <c r="AS10" i="3"/>
  <c r="AR10" i="3"/>
  <c r="AQ10" i="3"/>
  <c r="AP10" i="3"/>
  <c r="AO10" i="3"/>
  <c r="AN10" i="3"/>
  <c r="BM10" i="3" s="1"/>
  <c r="AM10" i="3"/>
  <c r="AJ10" i="3"/>
  <c r="AI10" i="3"/>
  <c r="AH10" i="3"/>
  <c r="AG10" i="3"/>
  <c r="AF10" i="3"/>
  <c r="AE10" i="3"/>
  <c r="AD10" i="3"/>
  <c r="AC10" i="3"/>
  <c r="AB10" i="3"/>
  <c r="AA10" i="3"/>
  <c r="Z10" i="3"/>
  <c r="Y10" i="3"/>
  <c r="X10" i="3"/>
  <c r="W10" i="3"/>
  <c r="V10" i="3"/>
  <c r="U10" i="3"/>
  <c r="T10" i="3"/>
  <c r="S10" i="3"/>
  <c r="R10" i="3"/>
  <c r="Q10" i="3"/>
  <c r="P10" i="3"/>
  <c r="O10" i="3"/>
  <c r="N10" i="3"/>
  <c r="M10" i="3"/>
  <c r="L10" i="3"/>
  <c r="K10" i="3"/>
  <c r="AK10" i="3" s="1"/>
  <c r="H10" i="3"/>
  <c r="BL9" i="3"/>
  <c r="BK9" i="3"/>
  <c r="BJ9" i="3"/>
  <c r="BI9" i="3"/>
  <c r="BH9" i="3"/>
  <c r="BG9" i="3"/>
  <c r="BF9" i="3"/>
  <c r="BE9" i="3"/>
  <c r="BD9" i="3"/>
  <c r="BC9" i="3"/>
  <c r="BB9" i="3"/>
  <c r="BA9" i="3"/>
  <c r="AZ9" i="3"/>
  <c r="AY9" i="3"/>
  <c r="AX9" i="3"/>
  <c r="AW9" i="3"/>
  <c r="AV9" i="3"/>
  <c r="AU9" i="3"/>
  <c r="AT9" i="3"/>
  <c r="AS9" i="3"/>
  <c r="AR9" i="3"/>
  <c r="AQ9" i="3"/>
  <c r="AP9" i="3"/>
  <c r="AO9" i="3"/>
  <c r="AN9" i="3"/>
  <c r="AM9" i="3"/>
  <c r="BM9" i="3" s="1"/>
  <c r="AJ9" i="3"/>
  <c r="AI9" i="3"/>
  <c r="AH9" i="3"/>
  <c r="AG9" i="3"/>
  <c r="AF9" i="3"/>
  <c r="AE9" i="3"/>
  <c r="AD9" i="3"/>
  <c r="AC9" i="3"/>
  <c r="AB9" i="3"/>
  <c r="AA9" i="3"/>
  <c r="Z9" i="3"/>
  <c r="Y9" i="3"/>
  <c r="X9" i="3"/>
  <c r="W9" i="3"/>
  <c r="V9" i="3"/>
  <c r="U9" i="3"/>
  <c r="T9" i="3"/>
  <c r="S9" i="3"/>
  <c r="R9" i="3"/>
  <c r="Q9" i="3"/>
  <c r="P9" i="3"/>
  <c r="O9" i="3"/>
  <c r="N9" i="3"/>
  <c r="M9" i="3"/>
  <c r="L9" i="3"/>
  <c r="K9" i="3"/>
  <c r="AK9" i="3" s="1"/>
  <c r="H9" i="3"/>
  <c r="BL8" i="3"/>
  <c r="BK8" i="3"/>
  <c r="BJ8" i="3"/>
  <c r="BI8" i="3"/>
  <c r="BH8" i="3"/>
  <c r="BG8" i="3"/>
  <c r="BF8" i="3"/>
  <c r="BE8" i="3"/>
  <c r="BD8" i="3"/>
  <c r="BC8" i="3"/>
  <c r="BB8" i="3"/>
  <c r="BA8" i="3"/>
  <c r="AZ8" i="3"/>
  <c r="AY8" i="3"/>
  <c r="AX8" i="3"/>
  <c r="V8" i="3" s="1"/>
  <c r="AW8" i="3"/>
  <c r="AV8" i="3"/>
  <c r="AU8" i="3"/>
  <c r="AT8" i="3"/>
  <c r="AS8" i="3"/>
  <c r="AR8" i="3"/>
  <c r="AQ8" i="3"/>
  <c r="AP8" i="3"/>
  <c r="AO8" i="3"/>
  <c r="AN8" i="3"/>
  <c r="AM8" i="3"/>
  <c r="BM8" i="3" s="1"/>
  <c r="AJ8" i="3"/>
  <c r="AI8" i="3"/>
  <c r="AH8" i="3"/>
  <c r="AG8" i="3"/>
  <c r="AF8" i="3"/>
  <c r="AE8" i="3"/>
  <c r="AD8" i="3"/>
  <c r="AC8" i="3"/>
  <c r="AB8" i="3"/>
  <c r="AA8" i="3"/>
  <c r="Z8" i="3"/>
  <c r="Y8" i="3"/>
  <c r="X8" i="3"/>
  <c r="W8" i="3"/>
  <c r="U8" i="3"/>
  <c r="T8" i="3"/>
  <c r="S8" i="3"/>
  <c r="R8" i="3"/>
  <c r="Q8" i="3"/>
  <c r="P8" i="3"/>
  <c r="O8" i="3"/>
  <c r="N8" i="3"/>
  <c r="M8" i="3"/>
  <c r="L8" i="3"/>
  <c r="K8" i="3"/>
  <c r="H8" i="3"/>
  <c r="BL7" i="3"/>
  <c r="BK7" i="3"/>
  <c r="BJ7" i="3"/>
  <c r="BI7" i="3"/>
  <c r="BH7" i="3"/>
  <c r="BG7" i="3"/>
  <c r="BF7" i="3"/>
  <c r="BE7" i="3"/>
  <c r="BD7" i="3"/>
  <c r="BC7" i="3"/>
  <c r="BB7" i="3"/>
  <c r="BA7" i="3"/>
  <c r="AZ7" i="3"/>
  <c r="AY7" i="3"/>
  <c r="AX7" i="3"/>
  <c r="AW7" i="3"/>
  <c r="AV7" i="3"/>
  <c r="AU7" i="3"/>
  <c r="AT7" i="3"/>
  <c r="AS7" i="3"/>
  <c r="AR7" i="3"/>
  <c r="AQ7" i="3"/>
  <c r="AP7" i="3"/>
  <c r="AO7" i="3"/>
  <c r="AN7" i="3"/>
  <c r="AM7" i="3"/>
  <c r="BM7" i="3" s="1"/>
  <c r="AJ7" i="3"/>
  <c r="AI7" i="3"/>
  <c r="AH7" i="3"/>
  <c r="AG7" i="3"/>
  <c r="AF7" i="3"/>
  <c r="AE7" i="3"/>
  <c r="AD7" i="3"/>
  <c r="AC7" i="3"/>
  <c r="AB7" i="3"/>
  <c r="AA7" i="3"/>
  <c r="Z7" i="3"/>
  <c r="Y7" i="3"/>
  <c r="X7" i="3"/>
  <c r="W7" i="3"/>
  <c r="V7" i="3"/>
  <c r="U7" i="3"/>
  <c r="T7" i="3"/>
  <c r="S7" i="3"/>
  <c r="R7" i="3"/>
  <c r="Q7" i="3"/>
  <c r="P7" i="3"/>
  <c r="O7" i="3"/>
  <c r="N7" i="3"/>
  <c r="M7" i="3"/>
  <c r="L7" i="3"/>
  <c r="H7" i="3"/>
  <c r="BL6" i="3"/>
  <c r="BK6" i="3"/>
  <c r="BJ6" i="3"/>
  <c r="BI6" i="3"/>
  <c r="BH6" i="3"/>
  <c r="BG6" i="3"/>
  <c r="BF6" i="3"/>
  <c r="BE6" i="3"/>
  <c r="BD6" i="3"/>
  <c r="BC6" i="3"/>
  <c r="BB6" i="3"/>
  <c r="BA6" i="3"/>
  <c r="AZ6" i="3"/>
  <c r="AY6" i="3"/>
  <c r="AX6" i="3"/>
  <c r="AW6" i="3"/>
  <c r="AV6" i="3"/>
  <c r="AU6" i="3"/>
  <c r="AT6" i="3"/>
  <c r="AS6" i="3"/>
  <c r="AR6" i="3"/>
  <c r="AQ6" i="3"/>
  <c r="AP6" i="3"/>
  <c r="AO6" i="3"/>
  <c r="AN6" i="3"/>
  <c r="AM6" i="3"/>
  <c r="BM6" i="3" s="1"/>
  <c r="AJ6" i="3"/>
  <c r="AI6" i="3"/>
  <c r="AG6" i="3"/>
  <c r="AF6" i="3"/>
  <c r="AE6" i="3"/>
  <c r="AC6" i="3"/>
  <c r="AA6" i="3"/>
  <c r="Z6" i="3"/>
  <c r="Y6" i="3"/>
  <c r="X6" i="3"/>
  <c r="W6" i="3"/>
  <c r="U6" i="3"/>
  <c r="T6" i="3"/>
  <c r="S6" i="3"/>
  <c r="Q6" i="3"/>
  <c r="O6" i="3"/>
  <c r="O80" i="3" s="1"/>
  <c r="N6" i="3"/>
  <c r="N80" i="3" s="1"/>
  <c r="M6" i="3"/>
  <c r="M80" i="3" s="1"/>
  <c r="L6" i="3"/>
  <c r="L80" i="3" s="1"/>
  <c r="K6" i="3"/>
  <c r="H6" i="3"/>
  <c r="AH6" i="3" s="1"/>
  <c r="C96" i="2"/>
  <c r="C95" i="2"/>
  <c r="C94" i="2"/>
  <c r="C93" i="2"/>
  <c r="H77" i="2"/>
  <c r="H64" i="2"/>
  <c r="H47" i="2"/>
  <c r="H30" i="2"/>
  <c r="H17" i="2"/>
  <c r="H10" i="2"/>
  <c r="H6" i="2"/>
  <c r="AK18" i="3" l="1"/>
  <c r="AK48" i="3"/>
  <c r="AK52" i="3"/>
  <c r="AF30" i="3"/>
  <c r="AK39" i="3"/>
  <c r="AK43" i="3"/>
  <c r="AF50" i="3"/>
  <c r="AF80" i="3" s="1"/>
  <c r="AF66" i="3"/>
  <c r="W18" i="3"/>
  <c r="Y18" i="3"/>
  <c r="AH18" i="3"/>
  <c r="AC18" i="3"/>
  <c r="AC80" i="3" s="1"/>
  <c r="AG18" i="3"/>
  <c r="AG80" i="3" s="1"/>
  <c r="AE18" i="3"/>
  <c r="AE80" i="3" s="1"/>
  <c r="AA18" i="3"/>
  <c r="AA80" i="3" s="1"/>
  <c r="AE34" i="3"/>
  <c r="AD34" i="3"/>
  <c r="AC34" i="3"/>
  <c r="AA34" i="3"/>
  <c r="Y34" i="3"/>
  <c r="W34" i="3"/>
  <c r="X34" i="3"/>
  <c r="AK59" i="3"/>
  <c r="AH62" i="3"/>
  <c r="AK68" i="3"/>
  <c r="AH70" i="3"/>
  <c r="AH80" i="3" s="1"/>
  <c r="AK74" i="3"/>
  <c r="X18" i="3"/>
  <c r="X80" i="3" s="1"/>
  <c r="AB38" i="3"/>
  <c r="W30" i="3"/>
  <c r="AK30" i="3" s="1"/>
  <c r="Y30" i="3"/>
  <c r="AE30" i="3"/>
  <c r="AC30" i="3"/>
  <c r="AA30" i="3"/>
  <c r="AK33" i="3"/>
  <c r="Z34" i="3"/>
  <c r="AK34" i="3" s="1"/>
  <c r="AK49" i="3"/>
  <c r="AA62" i="3"/>
  <c r="AK62" i="3" s="1"/>
  <c r="AC62" i="3"/>
  <c r="Z62" i="3"/>
  <c r="Y62" i="3"/>
  <c r="AI62" i="3"/>
  <c r="W62" i="3"/>
  <c r="AG62" i="3"/>
  <c r="AE62" i="3"/>
  <c r="X62" i="3"/>
  <c r="AI66" i="3"/>
  <c r="AH66" i="3"/>
  <c r="AG66" i="3"/>
  <c r="AE66" i="3"/>
  <c r="AC66" i="3"/>
  <c r="AA66" i="3"/>
  <c r="AK66" i="3" s="1"/>
  <c r="AG70" i="3"/>
  <c r="AE70" i="3"/>
  <c r="AD70" i="3"/>
  <c r="AI70" i="3"/>
  <c r="AJ70" i="3"/>
  <c r="AA38" i="3"/>
  <c r="AC38" i="3"/>
  <c r="Z38" i="3"/>
  <c r="Y38" i="3"/>
  <c r="Y80" i="3" s="1"/>
  <c r="AE38" i="3"/>
  <c r="AK8" i="3"/>
  <c r="Z18" i="3"/>
  <c r="AK25" i="3"/>
  <c r="X30" i="3"/>
  <c r="AK35" i="3"/>
  <c r="AD38" i="3"/>
  <c r="AK38" i="3" s="1"/>
  <c r="AK40" i="3"/>
  <c r="AI50" i="3"/>
  <c r="AG50" i="3"/>
  <c r="AE50" i="3"/>
  <c r="AJ66" i="3"/>
  <c r="AF74" i="3"/>
  <c r="I47" i="2"/>
  <c r="S80" i="3"/>
  <c r="AI80" i="3"/>
  <c r="AK11" i="3"/>
  <c r="AK19" i="3"/>
  <c r="AG22" i="3"/>
  <c r="AI22" i="3"/>
  <c r="AJ22" i="3"/>
  <c r="AJ80" i="3" s="1"/>
  <c r="AB34" i="3"/>
  <c r="AE46" i="3"/>
  <c r="AD46" i="3"/>
  <c r="AC46" i="3"/>
  <c r="AA46" i="3"/>
  <c r="Y46" i="3"/>
  <c r="W46" i="3"/>
  <c r="AK46" i="3" s="1"/>
  <c r="X46" i="3"/>
  <c r="AI54" i="3"/>
  <c r="AH54" i="3"/>
  <c r="AG54" i="3"/>
  <c r="AK57" i="3"/>
  <c r="AK22" i="3"/>
  <c r="D94" i="2"/>
  <c r="AK54" i="3"/>
  <c r="AK70" i="3"/>
  <c r="U80" i="3"/>
  <c r="AD18" i="3"/>
  <c r="AK23" i="3"/>
  <c r="AB30" i="3"/>
  <c r="AK41" i="3"/>
  <c r="W42" i="3"/>
  <c r="Y42" i="3"/>
  <c r="AK42" i="3" s="1"/>
  <c r="AA42" i="3"/>
  <c r="AK45" i="3"/>
  <c r="AK47" i="3"/>
  <c r="AB66" i="3"/>
  <c r="AI74" i="3"/>
  <c r="AG74" i="3"/>
  <c r="AE74" i="3"/>
  <c r="AJ74" i="3"/>
  <c r="AI78" i="3"/>
  <c r="AH78" i="3"/>
  <c r="AG78" i="3"/>
  <c r="AF78" i="3"/>
  <c r="AE78" i="3"/>
  <c r="AC78" i="3"/>
  <c r="AB78" i="3"/>
  <c r="AA78" i="3"/>
  <c r="AK78" i="3" s="1"/>
  <c r="I6" i="2"/>
  <c r="J6" i="2" s="1"/>
  <c r="D96" i="2"/>
  <c r="AJ26" i="3"/>
  <c r="AK26" i="3" s="1"/>
  <c r="AK55" i="3"/>
  <c r="AK58" i="3"/>
  <c r="AK61" i="3"/>
  <c r="AD62" i="3"/>
  <c r="AK72" i="3"/>
  <c r="V29" i="3"/>
  <c r="V65" i="3"/>
  <c r="V77" i="3"/>
  <c r="P6" i="3"/>
  <c r="P80" i="3" s="1"/>
  <c r="AB6" i="3"/>
  <c r="AB80" i="3" s="1"/>
  <c r="W65" i="3"/>
  <c r="AA73" i="3"/>
  <c r="W77" i="3"/>
  <c r="X65" i="3"/>
  <c r="AB73" i="3"/>
  <c r="X77" i="3"/>
  <c r="R6" i="3"/>
  <c r="R80" i="3" s="1"/>
  <c r="AD6" i="3"/>
  <c r="K7" i="3"/>
  <c r="AK7" i="3" s="1"/>
  <c r="Q13" i="3"/>
  <c r="AK13" i="3" s="1"/>
  <c r="Y65" i="3"/>
  <c r="AC73" i="3"/>
  <c r="Y77" i="3"/>
  <c r="K80" i="3"/>
  <c r="Z65" i="3"/>
  <c r="Z80" i="3" s="1"/>
  <c r="AD73" i="3"/>
  <c r="Z77" i="3"/>
  <c r="H87" i="2"/>
  <c r="I77" i="2" s="1"/>
  <c r="V6" i="3"/>
  <c r="C97" i="2"/>
  <c r="D95" i="2" s="1"/>
  <c r="W37" i="3"/>
  <c r="AK37" i="3" s="1"/>
  <c r="S65" i="3"/>
  <c r="AK65" i="3" s="1"/>
  <c r="W73" i="3"/>
  <c r="AK73" i="3" s="1"/>
  <c r="S77" i="3"/>
  <c r="AK77" i="3" s="1"/>
  <c r="T29" i="3"/>
  <c r="AK29" i="3" s="1"/>
  <c r="T65" i="3"/>
  <c r="X73" i="3"/>
  <c r="T77" i="3"/>
  <c r="T80" i="3" l="1"/>
  <c r="T81" i="3" s="1"/>
  <c r="T82" i="3" s="1"/>
  <c r="I17" i="2"/>
  <c r="W80" i="3"/>
  <c r="AD80" i="3"/>
  <c r="D93" i="2"/>
  <c r="Q80" i="3"/>
  <c r="V80" i="3"/>
  <c r="AK6" i="3"/>
  <c r="I82" i="2"/>
  <c r="J82" i="2" s="1"/>
  <c r="I59" i="2"/>
  <c r="J59" i="2" s="1"/>
  <c r="I53" i="2"/>
  <c r="J53" i="2" s="1"/>
  <c r="I24" i="2"/>
  <c r="J24" i="2" s="1"/>
  <c r="I18" i="2"/>
  <c r="J18" i="2" s="1"/>
  <c r="I7" i="2"/>
  <c r="J7" i="2" s="1"/>
  <c r="I76" i="2"/>
  <c r="J76" i="2" s="1"/>
  <c r="I70" i="2"/>
  <c r="J70" i="2" s="1"/>
  <c r="I64" i="2"/>
  <c r="I41" i="2"/>
  <c r="J41" i="2" s="1"/>
  <c r="I35" i="2"/>
  <c r="J35" i="2" s="1"/>
  <c r="I12" i="2"/>
  <c r="J12" i="2" s="1"/>
  <c r="H88" i="2"/>
  <c r="H89" i="2" s="1"/>
  <c r="I69" i="2"/>
  <c r="J69" i="2" s="1"/>
  <c r="I40" i="2"/>
  <c r="J40" i="2" s="1"/>
  <c r="I81" i="2"/>
  <c r="J81" i="2" s="1"/>
  <c r="I58" i="2"/>
  <c r="J58" i="2" s="1"/>
  <c r="I52" i="2"/>
  <c r="J52" i="2" s="1"/>
  <c r="I29" i="2"/>
  <c r="J29" i="2" s="1"/>
  <c r="I23" i="2"/>
  <c r="J23" i="2" s="1"/>
  <c r="I75" i="2"/>
  <c r="J75" i="2" s="1"/>
  <c r="I46" i="2"/>
  <c r="J46" i="2" s="1"/>
  <c r="I34" i="2"/>
  <c r="J34" i="2" s="1"/>
  <c r="I11" i="2"/>
  <c r="J11" i="2" s="1"/>
  <c r="I74" i="2"/>
  <c r="J74" i="2" s="1"/>
  <c r="I45" i="2"/>
  <c r="J45" i="2" s="1"/>
  <c r="I33" i="2"/>
  <c r="J33" i="2" s="1"/>
  <c r="I39" i="2"/>
  <c r="J39" i="2" s="1"/>
  <c r="I16" i="2"/>
  <c r="J16" i="2" s="1"/>
  <c r="I80" i="2"/>
  <c r="J80" i="2" s="1"/>
  <c r="I63" i="2"/>
  <c r="J63" i="2" s="1"/>
  <c r="I57" i="2"/>
  <c r="J57" i="2" s="1"/>
  <c r="I51" i="2"/>
  <c r="J51" i="2" s="1"/>
  <c r="I28" i="2"/>
  <c r="J28" i="2" s="1"/>
  <c r="I22" i="2"/>
  <c r="J22" i="2" s="1"/>
  <c r="I85" i="2"/>
  <c r="J85" i="2" s="1"/>
  <c r="I79" i="2"/>
  <c r="J79" i="2" s="1"/>
  <c r="I62" i="2"/>
  <c r="J62" i="2" s="1"/>
  <c r="I56" i="2"/>
  <c r="J56" i="2" s="1"/>
  <c r="I50" i="2"/>
  <c r="J50" i="2" s="1"/>
  <c r="I27" i="2"/>
  <c r="J27" i="2" s="1"/>
  <c r="I21" i="2"/>
  <c r="J21" i="2" s="1"/>
  <c r="I73" i="2"/>
  <c r="J73" i="2" s="1"/>
  <c r="I67" i="2"/>
  <c r="J67" i="2" s="1"/>
  <c r="I44" i="2"/>
  <c r="J44" i="2" s="1"/>
  <c r="I38" i="2"/>
  <c r="J38" i="2" s="1"/>
  <c r="I32" i="2"/>
  <c r="J32" i="2" s="1"/>
  <c r="I15" i="2"/>
  <c r="J15" i="2" s="1"/>
  <c r="I72" i="2"/>
  <c r="J72" i="2" s="1"/>
  <c r="I66" i="2"/>
  <c r="J66" i="2" s="1"/>
  <c r="I43" i="2"/>
  <c r="J43" i="2" s="1"/>
  <c r="I37" i="2"/>
  <c r="J37" i="2" s="1"/>
  <c r="I31" i="2"/>
  <c r="J31" i="2" s="1"/>
  <c r="I14" i="2"/>
  <c r="J14" i="2" s="1"/>
  <c r="I68" i="2"/>
  <c r="J68" i="2" s="1"/>
  <c r="I84" i="2"/>
  <c r="J84" i="2" s="1"/>
  <c r="I78" i="2"/>
  <c r="J78" i="2" s="1"/>
  <c r="I61" i="2"/>
  <c r="J61" i="2" s="1"/>
  <c r="I55" i="2"/>
  <c r="J55" i="2" s="1"/>
  <c r="I49" i="2"/>
  <c r="J49" i="2" s="1"/>
  <c r="I26" i="2"/>
  <c r="J26" i="2" s="1"/>
  <c r="I20" i="2"/>
  <c r="J20" i="2" s="1"/>
  <c r="I9" i="2"/>
  <c r="J9" i="2" s="1"/>
  <c r="I83" i="2"/>
  <c r="J83" i="2" s="1"/>
  <c r="I60" i="2"/>
  <c r="J60" i="2" s="1"/>
  <c r="I54" i="2"/>
  <c r="J54" i="2" s="1"/>
  <c r="I48" i="2"/>
  <c r="J48" i="2" s="1"/>
  <c r="I25" i="2"/>
  <c r="J25" i="2" s="1"/>
  <c r="I19" i="2"/>
  <c r="J19" i="2" s="1"/>
  <c r="I8" i="2"/>
  <c r="J8" i="2" s="1"/>
  <c r="I71" i="2"/>
  <c r="J71" i="2" s="1"/>
  <c r="I65" i="2"/>
  <c r="J65" i="2" s="1"/>
  <c r="I42" i="2"/>
  <c r="J42" i="2" s="1"/>
  <c r="I36" i="2"/>
  <c r="J36" i="2" s="1"/>
  <c r="I30" i="2"/>
  <c r="I13" i="2"/>
  <c r="J13" i="2" s="1"/>
  <c r="I10" i="2"/>
  <c r="J10" i="2" s="1"/>
  <c r="J17" i="2" s="1"/>
  <c r="J30" i="2" s="1"/>
  <c r="J47" i="2" s="1"/>
  <c r="J64" i="2" s="1"/>
  <c r="J77" i="2" s="1"/>
  <c r="AC81" i="3"/>
  <c r="Q81" i="3"/>
  <c r="Q82" i="3" s="1"/>
  <c r="AB81" i="3"/>
  <c r="P81" i="3"/>
  <c r="E84" i="3"/>
  <c r="AA81" i="3"/>
  <c r="AA82" i="3" s="1"/>
  <c r="O81" i="3"/>
  <c r="O82" i="3" s="1"/>
  <c r="Z81" i="3"/>
  <c r="Z82" i="3" s="1"/>
  <c r="N81" i="3"/>
  <c r="N82" i="3" s="1"/>
  <c r="Y81" i="3"/>
  <c r="Y82" i="3" s="1"/>
  <c r="M81" i="3"/>
  <c r="AJ81" i="3"/>
  <c r="X81" i="3"/>
  <c r="X82" i="3" s="1"/>
  <c r="L81" i="3"/>
  <c r="L82" i="3" s="1"/>
  <c r="AI81" i="3"/>
  <c r="W81" i="3"/>
  <c r="K81" i="3"/>
  <c r="K82" i="3" s="1"/>
  <c r="AH81" i="3"/>
  <c r="AH82" i="3" s="1"/>
  <c r="V81" i="3"/>
  <c r="V82" i="3" s="1"/>
  <c r="AG81" i="3"/>
  <c r="AG82" i="3" s="1"/>
  <c r="U81" i="3"/>
  <c r="U82" i="3" s="1"/>
  <c r="AF81" i="3"/>
  <c r="AF82" i="3" s="1"/>
  <c r="E80" i="3"/>
  <c r="AE81" i="3"/>
  <c r="AE82" i="3" s="1"/>
  <c r="S81" i="3"/>
  <c r="S82" i="3" s="1"/>
  <c r="AD81" i="3"/>
  <c r="R81" i="3"/>
  <c r="AK50" i="3"/>
  <c r="E85" i="3" l="1"/>
  <c r="R82" i="3"/>
  <c r="W82" i="3"/>
  <c r="P82" i="3"/>
  <c r="AD82" i="3"/>
  <c r="AI82" i="3"/>
  <c r="AB82" i="3"/>
  <c r="AC82" i="3"/>
  <c r="E86" i="3"/>
  <c r="AJ82" i="3"/>
  <c r="M82" i="3"/>
</calcChain>
</file>

<file path=xl/sharedStrings.xml><?xml version="1.0" encoding="utf-8"?>
<sst xmlns="http://schemas.openxmlformats.org/spreadsheetml/2006/main" count="1273" uniqueCount="462">
  <si>
    <t>SAUDI ARABIA RAILWAY COMPANY  |  ZULFI RAILWAY STATION – PROJECT COST &amp; SCHEDULE DASHBOARD</t>
  </si>
  <si>
    <t>WBS, Cost Breakdown Structure (CBS) and 26-month schedule generated from the Phased Bill of Quantities (16 March 2026).</t>
  </si>
  <si>
    <t>Total Project Cost (excl. VAT)</t>
  </si>
  <si>
    <t>VAT (15%)</t>
  </si>
  <si>
    <t>Total Project Cost (incl. VAT)</t>
  </si>
  <si>
    <t>Project Duration</t>
  </si>
  <si>
    <t>Phase 1 Total (excl. VAT)</t>
  </si>
  <si>
    <t>Phase 2 Total (excl. VAT)</t>
  </si>
  <si>
    <t>WBS Group</t>
  </si>
  <si>
    <t>Amount (SAR)</t>
  </si>
  <si>
    <t>1.0 Preliminaries &amp; General Requirements</t>
  </si>
  <si>
    <t>2.0 Design Works</t>
  </si>
  <si>
    <t>3.0 Main Building Works</t>
  </si>
  <si>
    <t>4.0 Ancillary Buildings</t>
  </si>
  <si>
    <t>5.0 External &amp; Site Development Works</t>
  </si>
  <si>
    <t>6.0 Roads, Signalling &amp; External Works</t>
  </si>
  <si>
    <t>7.0 Railway Track &amp; Turnout Works</t>
  </si>
  <si>
    <t>Phase</t>
  </si>
  <si>
    <t>Phase 1</t>
  </si>
  <si>
    <t>Phase 2</t>
  </si>
  <si>
    <t>ZULFI RAILWAY STATION  |  WORK BREAKDOWN STRUCTURE (WBS) &amp; COST BREAKDOWN STRUCTURE (CBS)</t>
  </si>
  <si>
    <t>Amounts in SAR, excluding VAT. Rows in teal are Level-1 WBS groups; totals are SUM formulas of their child items. Month 1 is reserved for Access Permits (WBS 1.2); Concept Design Submission falls on Month 2, Approval on Month 3. Work Permit Approval (WBS 1.3, 14 days, Month 12) is successor to Detailed Design Approval and predecessor to construction commencement — every Installation &amp; Construction activity is now driven by whichever is later: Work Permit Approval or its own Manufacture and Delivery to Site. Every construction item's procurement is broken into Vendor Prequalification (5%) → PO Issuance (15%) → Manufacture and Delivery to Site (80%), finish-to-start ahead of Installation &amp; Construction using discipline-based cost weightage; items with a 4+ month lead are flagged Long-Lead (Yes). Phase 1 procurement may commence 15 days after Preliminary Design Approval (now Month 7); Phase 2 procurement may only commence after Detailed Design Approval (now Month 11). EPC Category classifies every detail row under Engineering / Procurement / Construction / General — see the EPC-level rollup below the totals.</t>
  </si>
  <si>
    <t>WBS Code</t>
  </si>
  <si>
    <t>Description</t>
  </si>
  <si>
    <t>BOQ Ref</t>
  </si>
  <si>
    <t>Unit</t>
  </si>
  <si>
    <t>Qty</t>
  </si>
  <si>
    <t>Rate (SAR)</t>
  </si>
  <si>
    <t>% of Total</t>
  </si>
  <si>
    <t>Cumulative %</t>
  </si>
  <si>
    <t>Long-Lead</t>
  </si>
  <si>
    <t>Predecessor / Logical Link</t>
  </si>
  <si>
    <t>EPC Category</t>
  </si>
  <si>
    <t>1.0</t>
  </si>
  <si>
    <t>Preliminaries &amp; General Requirements</t>
  </si>
  <si>
    <t>1.1</t>
  </si>
  <si>
    <t>Site establishment, mobilization, insurances/permits, HSE, project mgmt, testing labs, demobilization</t>
  </si>
  <si>
    <t>Lump Sum</t>
  </si>
  <si>
    <t>Item</t>
  </si>
  <si>
    <t>No</t>
  </si>
  <si>
    <t>Project Start</t>
  </si>
  <si>
    <t>General</t>
  </si>
  <si>
    <t>1.2</t>
  </si>
  <si>
    <t>Access Permits – Request Submission &amp; Approval (site access, right-of-entry, authority permits)</t>
  </si>
  <si>
    <t>1.3</t>
  </si>
  <si>
    <t>Work Permit Approval (14 days) – authority sign-off enabling site construction works to commence</t>
  </si>
  <si>
    <t>FS: 2.6 Detailed Design - Approval</t>
  </si>
  <si>
    <t>2.0</t>
  </si>
  <si>
    <t>Design Works</t>
  </si>
  <si>
    <t>2.1</t>
  </si>
  <si>
    <t>Concept Design - Submission</t>
  </si>
  <si>
    <t>FS: 1.2 Access Permits - Request Submission &amp; Approval</t>
  </si>
  <si>
    <t>Engineering</t>
  </si>
  <si>
    <t>2.2</t>
  </si>
  <si>
    <t>Concept Design - Approval</t>
  </si>
  <si>
    <t>FS: 2.1 Concept Design - Submission</t>
  </si>
  <si>
    <t>2.3</t>
  </si>
  <si>
    <t>Preliminary Design - Submission</t>
  </si>
  <si>
    <t>FS: 2.2 Concept Design - Approval</t>
  </si>
  <si>
    <t>2.4</t>
  </si>
  <si>
    <t>Preliminary Design - Approval</t>
  </si>
  <si>
    <t>FS: 2.3 Preliminary Design - Submission</t>
  </si>
  <si>
    <t>2.5</t>
  </si>
  <si>
    <t>Detailed Design - Submission</t>
  </si>
  <si>
    <t>FS: 2.4 Preliminary Design - Approval</t>
  </si>
  <si>
    <t>2.6</t>
  </si>
  <si>
    <t>Detailed Design - Approval</t>
  </si>
  <si>
    <t>FS: 2.5 Detailed Design - Submission</t>
  </si>
  <si>
    <t>3.0</t>
  </si>
  <si>
    <t>Main Building Works</t>
  </si>
  <si>
    <t>3.1a1</t>
  </si>
  <si>
    <t>Main Building (GEA 1,100 m²) – Vendor Prequalification (Standard Lead, 5% of Procurement)</t>
  </si>
  <si>
    <t>3.1</t>
  </si>
  <si>
    <t>FS: 2.4 Preliminary Design - Approval + 15 days</t>
  </si>
  <si>
    <t>Procurement</t>
  </si>
  <si>
    <t>3.1a2</t>
  </si>
  <si>
    <t>Main Building (GEA 1,100 m²) – PO Issuance (Standard Lead, 15% of Procurement)</t>
  </si>
  <si>
    <t>FS: 3.1a1 Main Building (GEA 1,100 m²) - Vendor Prequalification</t>
  </si>
  <si>
    <t>3.1a3</t>
  </si>
  <si>
    <t>Main Building (GEA 1,100 m²) – Manufacture and Delivery to Site (Standard Lead, 80% of Procurement)</t>
  </si>
  <si>
    <t>FS: 3.1a2 Main Building (GEA 1,100 m²) - PO Issuance</t>
  </si>
  <si>
    <t>3.1b</t>
  </si>
  <si>
    <t>Main Building (GEA 1,100 m²) – Structure, Finishes, MEP, Fire &amp; Life Safety, T&amp;C</t>
  </si>
  <si>
    <t>Driven by later of: FS 1.3 Work Permit Approval / FS 3.1a3 Main Building (GEA 1,100 m²) - Manufacture and Delivery to Site</t>
  </si>
  <si>
    <t>Construction</t>
  </si>
  <si>
    <t>3.2a1</t>
  </si>
  <si>
    <t>IT Equipment – Vendor Prequalification (Standard Lead, 5% of Procurement)</t>
  </si>
  <si>
    <t>3.2</t>
  </si>
  <si>
    <t>3.2a2</t>
  </si>
  <si>
    <t>IT Equipment – PO Issuance (Standard Lead, 15% of Procurement)</t>
  </si>
  <si>
    <t>FS: 3.2a1 IT Equipment - Vendor Prequalification</t>
  </si>
  <si>
    <t>3.2a3</t>
  </si>
  <si>
    <t>IT Equipment – Manufacture and Delivery to Site (Standard Lead, 80% of Procurement)</t>
  </si>
  <si>
    <t>FS: 3.2a2 IT Equipment - PO Issuance</t>
  </si>
  <si>
    <t>3.2b</t>
  </si>
  <si>
    <t>IT Equipment – Installation, Testing &amp; Commissioning</t>
  </si>
  <si>
    <t>Driven by later of: FS 1.3 Work Permit Approval / FS 3.2a3 IT Equipment - Manufacture and Delivery to Site + 3.1b Main Building (substantially complete)</t>
  </si>
  <si>
    <t>3.3a1</t>
  </si>
  <si>
    <t>Furniture, Fixtures &amp; Equipment (FF&amp;E) – Vendor Prequalification (Standard Lead, 5% of Procurement)</t>
  </si>
  <si>
    <t>3.2 (Ph.2)</t>
  </si>
  <si>
    <t>FS: 2.6 Detailed Design - Approval (Phase 2 procurement gate)</t>
  </si>
  <si>
    <t>3.3a2</t>
  </si>
  <si>
    <t>Furniture, Fixtures &amp; Equipment (FF&amp;E) – PO Issuance (Standard Lead, 15% of Procurement)</t>
  </si>
  <si>
    <t>FS: 3.3a1 Furniture, Fixtures &amp; Equipment (FF&amp;E) - Vendor Prequalification</t>
  </si>
  <si>
    <t>3.3a3</t>
  </si>
  <si>
    <t>Furniture, Fixtures &amp; Equipment (FF&amp;E) – Manufacture and Delivery to Site (Standard Lead, 80% of Procurement)</t>
  </si>
  <si>
    <t>FS: 3.3a2 Furniture, Fixtures &amp; Equipment (FF&amp;E) - PO Issuance</t>
  </si>
  <si>
    <t>3.3b</t>
  </si>
  <si>
    <t>Furniture, Fixtures &amp; Equipment (FF&amp;E) – Site Fixing, Installation &amp; Handover</t>
  </si>
  <si>
    <t>Driven by later of: FS 1.3 Work Permit Approval / FS 3.3a3 Furniture, Fixtures &amp; Equipment (FF&amp;E) - Manufacture and Delivery to Site + 3.1b Main Building (structure &amp; finishes)</t>
  </si>
  <si>
    <t>4.0</t>
  </si>
  <si>
    <t>Ancillary Buildings</t>
  </si>
  <si>
    <t>4.1a1</t>
  </si>
  <si>
    <t>Substation &amp; SEC Works – Vendor Prequalification (Long-Lead, 5% of Procurement)</t>
  </si>
  <si>
    <t>4.1</t>
  </si>
  <si>
    <t>Yes</t>
  </si>
  <si>
    <t>4.1a2</t>
  </si>
  <si>
    <t>Substation &amp; SEC Works – PO Issuance (Long-Lead, 15% of Procurement)</t>
  </si>
  <si>
    <t>FS: 4.1a1 Substation &amp; SEC Works - Vendor Prequalification</t>
  </si>
  <si>
    <t>4.1a3</t>
  </si>
  <si>
    <t>Substation &amp; SEC Works – Manufacture and Delivery to Site (Long-Lead, 80% of Procurement)</t>
  </si>
  <si>
    <t>FS: 4.1a2 Substation &amp; SEC Works - PO Issuance</t>
  </si>
  <si>
    <t>4.1b</t>
  </si>
  <si>
    <t>Substation &amp; SEC Works – Civil, Installation, Testing &amp; Energization</t>
  </si>
  <si>
    <t>Driven by later of: FS 1.3 Work Permit Approval / FS 4.1a3 Substation &amp; SEC Works - Manufacture and Delivery to Site</t>
  </si>
  <si>
    <t>4.2a1</t>
  </si>
  <si>
    <t>Firefighting Building (GEA 518 m²) – Vendor Prequalification (Standard Lead, 5% of Procurement)</t>
  </si>
  <si>
    <t>4.2</t>
  </si>
  <si>
    <t>4.2a2</t>
  </si>
  <si>
    <t>Firefighting Building (GEA 518 m²) – PO Issuance (Standard Lead, 15% of Procurement)</t>
  </si>
  <si>
    <t>FS: 4.2a1 Firefighting Building (GEA 518 m²) - Vendor Prequalification</t>
  </si>
  <si>
    <t>4.2a3</t>
  </si>
  <si>
    <t>Firefighting Building (GEA 518 m²) – Manufacture and Delivery to Site (Standard Lead, 80% of Procurement)</t>
  </si>
  <si>
    <t>FS: 4.2a2 Firefighting Building (GEA 518 m²) - PO Issuance</t>
  </si>
  <si>
    <t>4.2b</t>
  </si>
  <si>
    <t>Firefighting Building (GEA 518 m²) – Civil Works, Fire Pump Room, Ring Main Integration</t>
  </si>
  <si>
    <t>Driven by later of: FS 1.3 Work Permit Approval / FS 4.2a3 Firefighting Building (GEA 518 m²) - Manufacture and Delivery to Site</t>
  </si>
  <si>
    <t>4.3a1</t>
  </si>
  <si>
    <t>Generator Room – Vendor Prequalification (Long-Lead, 5% of Procurement)</t>
  </si>
  <si>
    <t>4.3 (Ph.2)</t>
  </si>
  <si>
    <t>4.3a2</t>
  </si>
  <si>
    <t>Generator Room – PO Issuance (Long-Lead, 15% of Procurement)</t>
  </si>
  <si>
    <t>FS: 4.3a1 Generator Room - Vendor Prequalification</t>
  </si>
  <si>
    <t>4.3a3</t>
  </si>
  <si>
    <t>Generator Room – Manufacture and Delivery to Site (Long-Lead, 80% of Procurement)</t>
  </si>
  <si>
    <t>FS: 4.3a2 Generator Room - PO Issuance</t>
  </si>
  <si>
    <t>4.3b</t>
  </si>
  <si>
    <t>Generator Room – Civil Works, Installation &amp; Commissioning</t>
  </si>
  <si>
    <t>Driven by later of: FS 1.3 Work Permit Approval / FS 4.3a3 Generator Room - Manufacture and Delivery to Site</t>
  </si>
  <si>
    <t>4.4a1</t>
  </si>
  <si>
    <t>Underground Water Tank – Vendor Prequalification (Standard Lead, 5% of Procurement)</t>
  </si>
  <si>
    <t>4.4</t>
  </si>
  <si>
    <t>4.4a2</t>
  </si>
  <si>
    <t>Underground Water Tank – PO Issuance (Standard Lead, 15% of Procurement)</t>
  </si>
  <si>
    <t>FS: 4.4a1 Underground Water Tank - Vendor Prequalification</t>
  </si>
  <si>
    <t>4.4a3</t>
  </si>
  <si>
    <t>Underground Water Tank – Manufacture and Delivery to Site (Standard Lead, 80% of Procurement)</t>
  </si>
  <si>
    <t>FS: 4.4a2 Underground Water Tank - PO Issuance</t>
  </si>
  <si>
    <t>4.4b</t>
  </si>
  <si>
    <t>Underground Water Tank – Excavation, RC Tank, Waterproofing, Hydrostatic Testing</t>
  </si>
  <si>
    <t>Driven by later of: FS 1.3 Work Permit Approval / FS 4.4a3 Underground Water Tank - Manufacture and Delivery to Site</t>
  </si>
  <si>
    <t>5.0</t>
  </si>
  <si>
    <t>External &amp; Site Development Works</t>
  </si>
  <si>
    <t>5.1a1</t>
  </si>
  <si>
    <t>Site Works &amp; Underground Utilities (Plot 15,000 m²) – Vendor Prequalification (Standard Lead, 5% of Procurement)</t>
  </si>
  <si>
    <t>5.1</t>
  </si>
  <si>
    <t>5.1a2</t>
  </si>
  <si>
    <t>Site Works &amp; Underground Utilities (Plot 15,000 m²) – PO Issuance (Standard Lead, 15% of Procurement)</t>
  </si>
  <si>
    <t>FS: 5.1a1 Site Works &amp; Underground Utilities (Plot 15,000 m²) - Vendor Prequalification</t>
  </si>
  <si>
    <t>5.1a3</t>
  </si>
  <si>
    <t>Site Works &amp; Underground Utilities (Plot 15,000 m²) – Manufacture and Delivery to Site (Standard Lead, 80% of Procurement)</t>
  </si>
  <si>
    <t>FS: 5.1a2 Site Works &amp; Underground Utilities (Plot 15,000 m²) - PO Issuance</t>
  </si>
  <si>
    <t>5.1b</t>
  </si>
  <si>
    <t>Site Works &amp; Underground Utilities (Plot 15,000 m²) – Drainage, Water, FF Ring Main, Ducts – Installation</t>
  </si>
  <si>
    <t>Driven by later of: FS 1.3 Work Permit Approval / FS 5.1a3 Site Works &amp; Underground Utilities (Plot 15,000 m²) - Manufacture and Delivery to Site</t>
  </si>
  <si>
    <t>5.2a1</t>
  </si>
  <si>
    <t>Car Parking Sheds (80 lots) – Vendor Prequalification (Standard Lead, 5% of Procurement)</t>
  </si>
  <si>
    <t>5.2</t>
  </si>
  <si>
    <t>5.2a2</t>
  </si>
  <si>
    <t>Car Parking Sheds (80 lots) – PO Issuance (Standard Lead, 15% of Procurement)</t>
  </si>
  <si>
    <t>FS: 5.2a1 Car Parking Sheds (80 lots) - Vendor Prequalification</t>
  </si>
  <si>
    <t>5.2a3</t>
  </si>
  <si>
    <t>Car Parking Sheds (80 lots) – Manufacture and Delivery to Site (Standard Lead, 80% of Procurement)</t>
  </si>
  <si>
    <t>FS: 5.2a2 Car Parking Sheds (80 lots) - PO Issuance</t>
  </si>
  <si>
    <t>5.2b</t>
  </si>
  <si>
    <t>Car Parking Sheds (80 lots) – Structural Erection &amp; Finishes</t>
  </si>
  <si>
    <t>Driven by later of: FS 1.3 Work Permit Approval / FS 5.2a3 Car Parking Sheds (80 lots) - Manufacture and Delivery to Site + 5.1b Site Works &amp; Underground Utilities (partial)</t>
  </si>
  <si>
    <t>5.3a1</t>
  </si>
  <si>
    <t>Fence Works – Vendor Prequalification (Standard Lead, 5% of Procurement)</t>
  </si>
  <si>
    <t>5.3</t>
  </si>
  <si>
    <t>5.3a2</t>
  </si>
  <si>
    <t>Fence Works – PO Issuance (Standard Lead, 15% of Procurement)</t>
  </si>
  <si>
    <t>FS: 5.3a1 Fence Works - Vendor Prequalification</t>
  </si>
  <si>
    <t>5.3a3</t>
  </si>
  <si>
    <t>Fence Works – Manufacture and Delivery to Site (Standard Lead, 80% of Procurement)</t>
  </si>
  <si>
    <t>FS: 5.3a2 Fence Works - PO Issuance</t>
  </si>
  <si>
    <t>5.3b</t>
  </si>
  <si>
    <t>Fence Works – Chain Link Fence – Erection</t>
  </si>
  <si>
    <t>Driven by later of: FS 1.3 Work Permit Approval / FS 5.3a3 Fence Works - Manufacture and Delivery to Site + 5.1b Site Works &amp; Underground Utilities (substantially complete)</t>
  </si>
  <si>
    <t>5.4a1</t>
  </si>
  <si>
    <t>Automatic Gate System – Vendor Prequalification (Standard Lead, 5% of Procurement)</t>
  </si>
  <si>
    <t>5.4</t>
  </si>
  <si>
    <t>5.4a2</t>
  </si>
  <si>
    <t>Automatic Gate System – PO Issuance (Standard Lead, 15% of Procurement)</t>
  </si>
  <si>
    <t>FS: 5.4a1 Automatic Gate System - Vendor Prequalification</t>
  </si>
  <si>
    <t>5.4a3</t>
  </si>
  <si>
    <t>Automatic Gate System – Manufacture and Delivery to Site (Standard Lead, 80% of Procurement)</t>
  </si>
  <si>
    <t>FS: 5.4a2 Automatic Gate System - PO Issuance</t>
  </si>
  <si>
    <t>5.4b</t>
  </si>
  <si>
    <t>Automatic Gate System – Boom Barrier Installation &amp; Commissioning</t>
  </si>
  <si>
    <t>Driven by later of: FS 1.3 Work Permit Approval / FS 5.4a3 Automatic Gate System - Manufacture and Delivery to Site + 5.3b Fence Works (substantially complete)</t>
  </si>
  <si>
    <t>6.0</t>
  </si>
  <si>
    <t>Roads, Signalling &amp; External Works</t>
  </si>
  <si>
    <t>6.1a1</t>
  </si>
  <si>
    <t>Access Road (1,700 m, dual carriageway) – Vendor Prequalification (Standard Lead, 5% of Procurement)</t>
  </si>
  <si>
    <t>6.1 (Ph.2)</t>
  </si>
  <si>
    <t>6.1a2</t>
  </si>
  <si>
    <t>Access Road (1,700 m, dual carriageway) – PO Issuance (Standard Lead, 15% of Procurement)</t>
  </si>
  <si>
    <t>FS: 6.1a1 Access Road (1,700 m, dual carriageway) - Vendor Prequalification</t>
  </si>
  <si>
    <t>6.1a3</t>
  </si>
  <si>
    <t>Access Road (1,700 m, dual carriageway) – Manufacture and Delivery to Site (Standard Lead, 80% of Procurement)</t>
  </si>
  <si>
    <t>FS: 6.1a2 Access Road (1,700 m, dual carriageway) - PO Issuance</t>
  </si>
  <si>
    <t>6.1b</t>
  </si>
  <si>
    <t>Access Road (1,700 m, dual carriageway) – Pavement, Lighting, Drainage, Signage – Installation</t>
  </si>
  <si>
    <t>Driven by later of: FS 1.3 Work Permit Approval / FS 6.1a3 Access Road (1,700 m, dual carriageway) - Manufacture and Delivery to Site</t>
  </si>
  <si>
    <t>6.2a1</t>
  </si>
  <si>
    <t>Signalling &amp; Telecommunication – Vendor Prequalification (Long-Lead, 5% of Procurement)</t>
  </si>
  <si>
    <t>6.2</t>
  </si>
  <si>
    <t>6.2a2</t>
  </si>
  <si>
    <t>Signalling &amp; Telecommunication – PO Issuance (Long-Lead, 15% of Procurement)</t>
  </si>
  <si>
    <t>FS: 6.2a1 Signalling &amp; Telecommunication - Vendor Prequalification</t>
  </si>
  <si>
    <t>6.2a3</t>
  </si>
  <si>
    <t>Signalling &amp; Telecommunication – Manufacture and Delivery to Site (incl. FAT) (Long-Lead, 80% of Procurement)</t>
  </si>
  <si>
    <t>FS: 6.2a2 Signalling &amp; Telecommunication - PO Issuance</t>
  </si>
  <si>
    <t>6.2b</t>
  </si>
  <si>
    <t>Signalling &amp; Telecommunication – Installation, Integration, Testing &amp; Commissioning</t>
  </si>
  <si>
    <t>Driven by later of: FS 1.3 Work Permit Approval / FS 6.2a3 Signalling &amp; Telecommunication - Manufacture and Delivery to Site</t>
  </si>
  <si>
    <t>6.3a1</t>
  </si>
  <si>
    <t>External Works (above ground) – Vendor Prequalification (Standard Lead, 5% of Procurement)</t>
  </si>
  <si>
    <t>6.3</t>
  </si>
  <si>
    <t>6.3a2</t>
  </si>
  <si>
    <t>External Works (above ground) – PO Issuance (Standard Lead, 15% of Procurement)</t>
  </si>
  <si>
    <t>FS: 6.3a1 External Works (above ground) - Vendor Prequalification</t>
  </si>
  <si>
    <t>6.3a3</t>
  </si>
  <si>
    <t>External Works (above ground) – Manufacture and Delivery to Site (Standard Lead, 80% of Procurement)</t>
  </si>
  <si>
    <t>FS: 6.3a2 External Works (above ground) - PO Issuance</t>
  </si>
  <si>
    <t>6.3b</t>
  </si>
  <si>
    <t>External Works (above ground) – Roads, Footpaths, Landscaping, Guard Houses</t>
  </si>
  <si>
    <t>Driven by later of: FS 1.3 Work Permit Approval / FS 6.3a3 External Works (above ground) - Manufacture and Delivery to Site + 5.1b Site Works &amp; Underground Utilities (partial)</t>
  </si>
  <si>
    <t>7.0</t>
  </si>
  <si>
    <t>Railway Track &amp; Turnout Works</t>
  </si>
  <si>
    <t>7.2a1</t>
  </si>
  <si>
    <t>Railway Track Works (Loop Line, 2,500 m) – Vendor Prequalification (Long-Lead, 5% of Procurement)</t>
  </si>
  <si>
    <t>7.2 (Ph.2)</t>
  </si>
  <si>
    <t>7.2a2</t>
  </si>
  <si>
    <t>Railway Track Works (Loop Line, 2,500 m) – PO Issuance (Long-Lead, 15% of Procurement)</t>
  </si>
  <si>
    <t>FS: 7.2a1 Railway Track Works (Loop Line, 2,500 m) - Vendor Prequalification</t>
  </si>
  <si>
    <t>7.2a3</t>
  </si>
  <si>
    <t>Railway Track Works (Loop Line, 2,500 m) – Manufacture and Delivery to Site (incl. FAT) (Long-Lead, 80% of Procurement)</t>
  </si>
  <si>
    <t>FS: 7.2a2 Railway Track Works (Loop Line, 2,500 m) - PO Issuance</t>
  </si>
  <si>
    <t>7.2b</t>
  </si>
  <si>
    <t>Railway Track Works (Loop Line, 2,500 m) – Formation, Laying, Alignment, Testing &amp; Commissioning</t>
  </si>
  <si>
    <t>Driven by later of: FS 1.3 Work Permit Approval / FS 7.2a3 Railway Track Works (Loop Line, 2,500 m) - Manufacture and Delivery to Site</t>
  </si>
  <si>
    <t>7.3a1</t>
  </si>
  <si>
    <t>Railway Turnout Works – Vendor Prequalification (Long-Lead, 5% of Procurement)</t>
  </si>
  <si>
    <t>7.3</t>
  </si>
  <si>
    <t>7.3a2</t>
  </si>
  <si>
    <t>Railway Turnout Works – PO Issuance (Long-Lead, 15% of Procurement)</t>
  </si>
  <si>
    <t>FS: 7.3a1 Railway Turnout Works - Vendor Prequalification</t>
  </si>
  <si>
    <t>7.3a3</t>
  </si>
  <si>
    <t>Railway Turnout Works – Manufacture and Delivery to Site (incl. FAT) (Long-Lead, 80% of Procurement)</t>
  </si>
  <si>
    <t>FS: 7.3a2 Railway Turnout Works - PO Issuance</t>
  </si>
  <si>
    <t>7.3b</t>
  </si>
  <si>
    <t>Railway Turnout Works – Installation, Alignment, Tie-in, Testing &amp; Commissioning</t>
  </si>
  <si>
    <t>Driven by later of: FS 1.3 Work Permit Approval / FS 7.3a3 Railway Turnout Works - Manufacture and Delivery to Site + 7.2b Railway Track Works (concurrent — foundation/bed prep precedes Track, tie-in concurrent with Track's final stages)</t>
  </si>
  <si>
    <t>TOTAL PROJECT COST (excl. VAT)</t>
  </si>
  <si>
    <t>TOTAL PROJECT COST (incl. VAT)</t>
  </si>
  <si>
    <t>EPC LEVEL-0 WBS SUMMARY</t>
  </si>
  <si>
    <t>EPC Code</t>
  </si>
  <si>
    <t>Category</t>
  </si>
  <si>
    <t>G.0</t>
  </si>
  <si>
    <t>General / Preliminaries</t>
  </si>
  <si>
    <t>E.0</t>
  </si>
  <si>
    <t>Engineering (Design Works)</t>
  </si>
  <si>
    <t>P.0</t>
  </si>
  <si>
    <t>Procurement of Materials</t>
  </si>
  <si>
    <t>C.0</t>
  </si>
  <si>
    <t>Installation &amp; Construction</t>
  </si>
  <si>
    <t>ZULFI RAILWAY STATION  |  26-MONTH PROJECT SCHEDULE (GANTT) &amp; COST-LOADED CASH FLOW</t>
  </si>
  <si>
    <t>Preliminaries &amp; General Requirements are cost-loaded evenly across the full Months 1–26. Month 1 is reserved solely for Access Permits (WBS 1.2, Request Submission &amp; Approval). Design Works span Months 2–11 (11 months, extended from 9): Concept Design Submission on Month 2, Approval on Month 3 (client-specified, 2 full months instead of both sub-activities sharing Month 1) → Preliminary (30%, 3mo, M4-6) → Detailed (60%, 5mo, M7-11), finish-to-start, normalized to 100% (raw weights summed to 105%); each stage's Submission (40%) → Approval (60%) sub-activities are also finish-to-start. Work Permit Approval (WBS 1.3, 14 days → 1-month row, Month 12) is successor to Detailed Design Approval (WBS 2.6) and predecessor to construction commencement: every Installation &amp; Construction activity is now driven by whichever gate is LATER — Work Permit Approval (Month 13 earliest) or its own Manufacture and Delivery to Site completion (whichever is binding is shown in the Predecessor column). EVERY procurement/construction item (codes ending 'a1'/'a2'/'a3'/'b') is split into Vendor Prequalification (5%) → PO Issuance (15%) → Manufacture and Delivery to Site (80%), sequential finish-to-start. Phase 1 procurement may commence 15 days after Preliminary Design Approval (WBS 2.4, now ends Month 6), i.e. Month 7 at the earliest. Phase 2 procurement (Furniture, Generator Room, Access Road, Railway Track) may only commence after Detailed Design Approval (Month 11) — a stricter gate than Phase 1. The materials/construction split follows discipline-based logical weightage, with Construction always the higher share: Civil &amp; Site Works 20%/80%, MEP &amp; Mechanical Equipment 30%/70%, Specialised Rail &amp; Signalling Systems 45%/55%, Furniture/Fit-out 40%/60%. Items with a 4+ month lead are flagged Long-Lead. For Signalling &amp; Telecom, Railway Track and Railway Turnout, Manufacture and Delivery to Site is set to a minimum 8-month duration. CRITICAL NOTE: the Work Permit Approval gate (Month 13) is now the binding constraint for Main Building, Substation, Firefighting Building, Water Tank and Site Works &amp; Utilities — all pushed to start Month 13, later than their own material-delivery readiness. This ripples through every activity that cascades off them, and combined with the earlier design-phase extension, several Installation durations are now compressed to still finish by Month 26: IT Equipment 4mo, Fence Works 4mo, External Works 7mo, Automatic Gate and Furniture (FF&amp;E) only 2mo each. Railway Track remains compressed to 6 months (Phase 2 gate, unaffected by the 15-day change). This is a materially tight tail end of the programme — extending total project duration beyond 26 months, or streamlining the front-end approval sequence (Access Permits → Concept Design → Work Permit), would meaningfully relieve it. Installation &amp; Construction activities are cost-loaded with a triangular ramp-up / peak / ramp-down weightage across their own duration. The 25% Year-1 cash-flow cap remains removed (Year 1/Year 2 totals below are informational only). Shaded cells mark active months; adjust Start/End Month cells to re-sequence — monthly cash flow updates automatically.</t>
  </si>
  <si>
    <t>EPC</t>
  </si>
  <si>
    <t>Start Month</t>
  </si>
  <si>
    <t>End Month</t>
  </si>
  <si>
    <t>Duration (Mo)</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</si>
  <si>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</si>
  <si>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</si>
  <si>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</si>
  <si>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</si>
  <si>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</si>
  <si>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</si>
  <si>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</si>
  <si>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</si>
  <si>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</si>
  <si>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</si>
  <si>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</si>
  <si>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</si>
  <si>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</si>
  <si>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</si>
  <si>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</si>
  <si>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</si>
  <si>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</si>
  <si>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</si>
  <si>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</si>
  <si>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</si>
  <si>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</si>
  <si>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</si>
  <si>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</si>
  <si>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</si>
  <si>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</si>
  <si>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</si>
  <si>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Check</t>
  </si>
  <si>
    <t>Weight helper grid (hidden) — triangular ramp-up/peak/ramp-down per activity</t>
  </si>
  <si>
    <t>GEN</t>
  </si>
  <si>
    <t>Access Permits – Request Submission &amp; Approval</t>
  </si>
  <si>
    <t>Work Permit Approval</t>
  </si>
  <si>
    <t>ENG</t>
  </si>
  <si>
    <t>Main Building – Vendor Prequalification</t>
  </si>
  <si>
    <t>PROC</t>
  </si>
  <si>
    <t>Main Building – PO Issuance</t>
  </si>
  <si>
    <t>Main Building – Manufacture and Delivery to Site</t>
  </si>
  <si>
    <t>Main Building – Installation &amp; Construction</t>
  </si>
  <si>
    <t>CONS</t>
  </si>
  <si>
    <t>IT Equipment – Vendor Prequalification</t>
  </si>
  <si>
    <t>IT Equipment – PO Issuance</t>
  </si>
  <si>
    <t>IT Equipment – Manufacture and Delivery to Site</t>
  </si>
  <si>
    <t>IT Equipment – Installation &amp; Construction</t>
  </si>
  <si>
    <t>Furniture (FF&amp;E) – Vendor Prequalification</t>
  </si>
  <si>
    <t>Furniture (FF&amp;E) – PO Issuance</t>
  </si>
  <si>
    <t>Furniture (FF&amp;E) – Manufacture and Delivery to Site</t>
  </si>
  <si>
    <t>Furniture (FF&amp;E) – Installation &amp; Construction</t>
  </si>
  <si>
    <t>Substation &amp; SEC – Vendor Prequalification</t>
  </si>
  <si>
    <t>Substation &amp; SEC – PO Issuance</t>
  </si>
  <si>
    <t>Substation &amp; SEC – Manufacture and Delivery to Site</t>
  </si>
  <si>
    <t>Substation &amp; SEC – Installation &amp; Construction</t>
  </si>
  <si>
    <t>Firefighting Bldg – Vendor Prequalification</t>
  </si>
  <si>
    <t>Firefighting Bldg – PO Issuance</t>
  </si>
  <si>
    <t>Firefighting Bldg – Manufacture and Delivery to Site</t>
  </si>
  <si>
    <t>Firefighting Bldg – Installation &amp; Construction</t>
  </si>
  <si>
    <t>Generator Room – Vendor Prequalification</t>
  </si>
  <si>
    <t>Generator Room – PO Issuance</t>
  </si>
  <si>
    <t>Generator Room – Manufacture and Delivery to Site</t>
  </si>
  <si>
    <t>Generator Room – Installation &amp; Construction</t>
  </si>
  <si>
    <t>Water Tank – Vendor Prequalification</t>
  </si>
  <si>
    <t>Water Tank – PO Issuance</t>
  </si>
  <si>
    <t>Water Tank – Manufacture and Delivery to Site</t>
  </si>
  <si>
    <t>Water Tank – Installation &amp; Construction</t>
  </si>
  <si>
    <t>Site Works &amp; Utilities – Vendor Prequalification</t>
  </si>
  <si>
    <t>Site Works &amp; Utilities – PO Issuance</t>
  </si>
  <si>
    <t>Site Works &amp; Utilities – Manufacture and Delivery to Site</t>
  </si>
  <si>
    <t>Site Works &amp; Utilities – Installation &amp; Construction</t>
  </si>
  <si>
    <t>Car Parking Sheds – Vendor Prequalification</t>
  </si>
  <si>
    <t>Car Parking Sheds – PO Issuance</t>
  </si>
  <si>
    <t>Car Parking Sheds – Manufacture and Delivery to Site</t>
  </si>
  <si>
    <t>Car Parking Sheds – Installation &amp; Construction</t>
  </si>
  <si>
    <t>Fence Works – Vendor Prequalification</t>
  </si>
  <si>
    <t>Fence Works – PO Issuance</t>
  </si>
  <si>
    <t>Fence Works – Manufacture and Delivery to Site</t>
  </si>
  <si>
    <t>Fence Works – Installation &amp; Construction</t>
  </si>
  <si>
    <t>Automatic Gate – Vendor Prequalification</t>
  </si>
  <si>
    <t>Automatic Gate – PO Issuance</t>
  </si>
  <si>
    <t>Automatic Gate – Manufacture and Delivery to Site</t>
  </si>
  <si>
    <t>Automatic Gate – Installation &amp; Construction</t>
  </si>
  <si>
    <t>Access Road – Vendor Prequalification</t>
  </si>
  <si>
    <t>Access Road – PO Issuance</t>
  </si>
  <si>
    <t>Access Road – Manufacture and Delivery to Site</t>
  </si>
  <si>
    <t>Access Road – Installation &amp; Construction</t>
  </si>
  <si>
    <t>Signalling &amp; Telecom – Vendor Prequalification</t>
  </si>
  <si>
    <t>Signalling &amp; Telecom – PO Issuance</t>
  </si>
  <si>
    <t>Signalling &amp; Telecom – Manufacture and Delivery to Site</t>
  </si>
  <si>
    <t>Signalling &amp; Telecom – Installation &amp; Construction</t>
  </si>
  <si>
    <t>External Works – Vendor Prequalification</t>
  </si>
  <si>
    <t>External Works – PO Issuance</t>
  </si>
  <si>
    <t>External Works – Manufacture and Delivery to Site</t>
  </si>
  <si>
    <t>External Works – Installation &amp; Construction</t>
  </si>
  <si>
    <t>Railway Track – Vendor Prequalification</t>
  </si>
  <si>
    <t>Railway Track – PO Issuance</t>
  </si>
  <si>
    <t>Railway Track – Manufacture and Delivery to Site</t>
  </si>
  <si>
    <t>Railway Track – Installation &amp; Construction</t>
  </si>
  <si>
    <t>Railway Turnout – Vendor Prequalification</t>
  </si>
  <si>
    <t>Railway Turnout – PO Issuance</t>
  </si>
  <si>
    <t>Railway Turnout – Manufacture and Delivery to Site</t>
  </si>
  <si>
    <t>Railway Turnout – Installation &amp; Construction</t>
  </si>
  <si>
    <t>(month index – helper row)</t>
  </si>
  <si>
    <t>WtSum</t>
  </si>
  <si>
    <t>TOTAL MONTHLY SPEND (SAR)</t>
  </si>
  <si>
    <t>CUMULATIVE SPEND (SAR)</t>
  </si>
  <si>
    <t>CUMULATIVE % COMPLETE (COST)</t>
  </si>
  <si>
    <t>YEAR 1 (M1-M12) SPEND (SAR)</t>
  </si>
  <si>
    <t>YEAR 1 % OF CONTRACT VALUE</t>
  </si>
  <si>
    <t>YEAR 2 (M13-M26) SPEND (SAR)</t>
  </si>
  <si>
    <t>ZULFI RAILWAY STATION  |  ASSUMPTIONS &amp; WEIGHTAGES REFERENCE</t>
  </si>
  <si>
    <t>Consolidated reference for every weighting rule and schedule gate used to build the WBS, CBS and 26-Month Schedule. Change a rule here, then re-generate the workbook — these figures drive every formula elsewhere.</t>
  </si>
  <si>
    <t>1. Discipline-Based Materials / Construction Cost Weightage</t>
  </si>
  <si>
    <t>Discipline</t>
  </si>
  <si>
    <t>Materials %</t>
  </si>
  <si>
    <t>Construction %</t>
  </si>
  <si>
    <t>Applies To (WBS Items)</t>
  </si>
  <si>
    <t>Civil &amp; Site Works</t>
  </si>
  <si>
    <t>Main Building, Firefighting Building, Water Tank, Site Works &amp; Utilities, Car Parking Sheds, Fence Works, Access Road, External Works</t>
  </si>
  <si>
    <t>MEP &amp; Mechanical Equipment</t>
  </si>
  <si>
    <t>Substation &amp; SEC Works, Generator Room, IT Equipment, Automatic Gate System</t>
  </si>
  <si>
    <t>Specialised Rail &amp; Signalling Systems</t>
  </si>
  <si>
    <t>Signalling &amp; Telecom, Railway Track Works, Railway Turnout Works</t>
  </si>
  <si>
    <t>Furniture / Fit-out</t>
  </si>
  <si>
    <t>Furniture, Fixtures &amp; Equipment (FF&amp;E)</t>
  </si>
  <si>
    <t>Rule: Construction is always the higher weightage of the two (materials-heavy items are still labour/installation dominant).</t>
  </si>
  <si>
    <t>2. Procurement Stage Weightage (applies within each item's Procurement cost share)</t>
  </si>
  <si>
    <t>Procurement Stage</t>
  </si>
  <si>
    <t>Weight</t>
  </si>
  <si>
    <t>Notes</t>
  </si>
  <si>
    <t>Vendor Prequalification</t>
  </si>
  <si>
    <t>PO Issuance</t>
  </si>
  <si>
    <t>Manufacture and Delivery to Site</t>
  </si>
  <si>
    <t>Minimum 8 months for Signalling &amp; Telecom, Railway Track and Railway Turnout (includes manufacturing &amp; FAT) — overrides normal duration rounding</t>
  </si>
  <si>
    <t>Sequence: Vendor Prequalification → PO Issuance → Manufacture and Delivery to Site, strictly finish-to-start.</t>
  </si>
  <si>
    <t>3. Design Stage Weightage (of Design Works total, SAR 4,889,000)</t>
  </si>
  <si>
    <t>Design Stage</t>
  </si>
  <si>
    <t>Raw Weight</t>
  </si>
  <si>
    <t>Normalized Weight</t>
  </si>
  <si>
    <t>Duration</t>
  </si>
  <si>
    <t>Concept Design</t>
  </si>
  <si>
    <t>1 mo (M2)</t>
  </si>
  <si>
    <t>Preliminary Design</t>
  </si>
  <si>
    <t>3 mo (M4-6)</t>
  </si>
  <si>
    <t>Detailed Design</t>
  </si>
  <si>
    <t>5 mo (M7-11)</t>
  </si>
  <si>
    <t>Raw weights sum to 105%, not 100% — normalized proportionally so the design total still equals SAR 4,889,000 exactly.</t>
  </si>
  <si>
    <t>4. Design Sub-Activity Weightage (within each design stage)</t>
  </si>
  <si>
    <t>Sub-Activity</t>
  </si>
  <si>
    <t>Submission</t>
  </si>
  <si>
    <t>Approval</t>
  </si>
  <si>
    <t>5. Schedule Gates &amp; Other Key Assumptions</t>
  </si>
  <si>
    <t>Rule</t>
  </si>
  <si>
    <t>Value</t>
  </si>
  <si>
    <t>Access Permits (Request Submission &amp; Approval)</t>
  </si>
  <si>
    <t>Month 1 only</t>
  </si>
  <si>
    <t>Concept Design Submission / Approval</t>
  </si>
  <si>
    <t>Month 2 / Month 3</t>
  </si>
  <si>
    <t>Work Permit Approval duration</t>
  </si>
  <si>
    <t>14 days (1-month schedule row)</t>
  </si>
  <si>
    <t>Work Permit Approval predecessor</t>
  </si>
  <si>
    <t>FS: Detailed Design Approval (WBS 2.6)</t>
  </si>
  <si>
    <t>Construction commencement driven by</t>
  </si>
  <si>
    <t>Later of: Work Permit Approval OR own Manufacture and Delivery to Site</t>
  </si>
  <si>
    <t>Phase 1 procurement lag after Preliminary Design Approval</t>
  </si>
  <si>
    <t>15 days</t>
  </si>
  <si>
    <t>Phase 2 procurement gate</t>
  </si>
  <si>
    <t>After Detailed Design Approval (stricter than Phase 1)</t>
  </si>
  <si>
    <t>Long-Lead threshold</t>
  </si>
  <si>
    <t>4+ months lead time</t>
  </si>
  <si>
    <t>Total project duration</t>
  </si>
  <si>
    <t>26 months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</si>
</sst>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months&quot;"/>
    <numFmt numFmtId="165" formatCode="0.0%"/>
    <numFmt numFmtId="166" formatCode="#,##0;;;"/>
  </numFmts>
  <fonts count="21">
    <font>
      <sz val="11"/>
      <color theme="1"/>
      <name val="Calibri"/>
      <family val="2"/>
      <charset val="1"/>
    </font>
    <font>
      <b/>
      <sz val="15"/>
      <color rgb="FF3D3935"/>
      <name val="Diodrum Arabic"/>
      <charset val="1"/>
    </font>
    <font>
      <i/>
      <sz val="9"/>
      <color rgb="FF7F7F7F"/>
      <name val="Diodrum Arabic"/>
      <charset val="1"/>
    </font>
    <font>
      <b/>
      <sz val="9"/>
      <color rgb="FFFFFFFF"/>
      <name val="Diodrum Arabic"/>
      <charset val="1"/>
    </font>
    <font>
      <b/>
      <sz val="14"/>
      <color rgb="FF00778B"/>
      <name val="Diodrum Arabic"/>
      <charset val="1"/>
    </font>
    <font>
      <b/>
      <sz val="13"/>
      <color rgb="FF3D3935"/>
      <name val="Diodrum Arabic"/>
      <charset val="1"/>
    </font>
    <font>
      <b/>
      <sz val="11"/>
      <color rgb="FF3D3935"/>
      <name val="Diodrum Arabic"/>
      <charset val="1"/>
    </font>
    <font>
      <sz val="10"/>
      <color rgb="FF3D3935"/>
      <name val="Diodrum Arabic"/>
      <charset val="1"/>
    </font>
    <font>
      <b/>
      <sz val="10"/>
      <color rgb="FFFFFFFF"/>
      <name val="Diodrum Arabic"/>
      <charset val="1"/>
    </font>
    <font>
      <b/>
      <sz val="10"/>
      <color rgb="FF6B7280"/>
      <name val="Diodrum Arabic"/>
      <charset val="1"/>
    </font>
    <font>
      <b/>
      <sz val="10"/>
      <color rgb="FF7A5AF8"/>
      <name val="Diodrum Arabic"/>
      <charset val="1"/>
    </font>
    <font>
      <b/>
      <sz val="10"/>
      <color rgb="FFB07A1E"/>
      <name val="Diodrum Arabic"/>
      <charset val="1"/>
    </font>
    <font>
      <b/>
      <sz val="10"/>
      <color rgb="FF1E7A4C"/>
      <name val="Diodrum Arabic"/>
      <charset val="1"/>
    </font>
    <font>
      <b/>
      <sz val="10"/>
      <color rgb="FF7A1519"/>
      <name val="Diodrum Arabic"/>
      <charset val="1"/>
    </font>
    <font>
      <b/>
      <sz val="11"/>
      <color rgb="FFFFFFFF"/>
      <name val="Diodrum Arabic"/>
      <charset val="1"/>
    </font>
    <font>
      <b/>
      <sz val="12"/>
      <color rgb="FF00778B"/>
      <name val="Diodrum Arabic"/>
      <charset val="1"/>
    </font>
    <font>
      <i/>
      <sz val="8"/>
      <color rgb="FFAAAAAA"/>
      <name val="Diodrum Arabic"/>
      <charset val="1"/>
    </font>
    <font>
      <sz val="9"/>
      <name val="Diodrum Arabic"/>
      <charset val="1"/>
    </font>
    <font>
      <sz val="8"/>
      <color rgb="FFAAAAAA"/>
      <name val="Diodrum Arabic"/>
      <charset val="1"/>
    </font>
    <font>
      <b/>
      <sz val="10"/>
      <color rgb="FF3D3935"/>
      <name val="Diodrum Arabic"/>
      <charset val="1"/>
    </font>
    <font>
      <b/>
      <sz val="10"/>
      <color rgb="FF00778B"/>
      <name val="Diodrum Arabic"/>
      <charset val="1"/>
    </font>
  </fonts>
  <fills count="9">
    <fill>
      <patternFill patternType="none"/>
    </fill>
    <fill>
      <patternFill patternType="gray125"/>
    </fill>
    <fill>
      <patternFill patternType="solid">
        <fgColor rgb="FFFFFFFF"/>
        <bgColor rgb="FFFFF3CD"/>
      </patternFill>
    </fill>
    <fill>
      <patternFill patternType="solid">
        <fgColor rgb="FF00778B"/>
        <bgColor rgb="FF1E7A4C"/>
      </patternFill>
    </fill>
    <fill>
      <patternFill patternType="solid">
        <fgColor rgb="FF768692"/>
        <bgColor rgb="FF7F7F7F"/>
      </patternFill>
    </fill>
    <fill>
      <patternFill patternType="solid">
        <fgColor rgb="FF71B2C9"/>
        <bgColor rgb="FF91A8CD"/>
      </patternFill>
    </fill>
    <fill>
      <patternFill patternType="solid">
        <fgColor rgb="FFDEF5FA"/>
        <bgColor rgb="FFFFFFFF"/>
      </patternFill>
    </fill>
    <fill>
      <patternFill patternType="solid">
        <fgColor rgb="FFF7DFE0"/>
        <bgColor rgb="FFFFF3CD"/>
      </patternFill>
    </fill>
    <fill>
      <patternFill patternType="solid">
        <fgColor rgb="FFFFF3CD"/>
        <bgColor rgb="FFF7DFE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3" fontId="5" fillId="0" borderId="0" xfId="0" applyNumberFormat="1" applyFont="1"/>
    <xf numFmtId="0" fontId="3" fillId="5" borderId="0" xfId="0" applyFont="1" applyFill="1"/>
    <xf numFmtId="164" fontId="4" fillId="0" borderId="0" xfId="0" applyNumberFormat="1" applyFont="1" applyAlignment="1">
      <alignment horizontal="center" vertical="center"/>
    </xf>
    <xf numFmtId="3" fontId="4" fillId="0" borderId="0" xfId="0" applyNumberFormat="1" applyFont="1" applyAlignment="1">
      <alignment horizontal="center" vertical="center"/>
    </xf>
    <xf numFmtId="0" fontId="3" fillId="4" borderId="0" xfId="0" applyFont="1" applyFill="1" applyAlignment="1">
      <alignment horizontal="center" vertical="center"/>
    </xf>
    <xf numFmtId="0" fontId="2" fillId="0" borderId="0" xfId="0" applyFont="1"/>
    <xf numFmtId="0" fontId="0" fillId="3" borderId="0" xfId="0" applyFill="1"/>
    <xf numFmtId="0" fontId="1" fillId="2" borderId="0" xfId="0" applyFont="1" applyFill="1" applyAlignment="1">
      <alignment horizontal="left" vertical="center"/>
    </xf>
    <xf numFmtId="0" fontId="0" fillId="2" borderId="0" xfId="0" applyFill="1"/>
    <xf numFmtId="0" fontId="2" fillId="0" borderId="0" xfId="0" applyFont="1"/>
    <xf numFmtId="0" fontId="6" fillId="0" borderId="0" xfId="0" applyFont="1"/>
    <xf numFmtId="0" fontId="7" fillId="0" borderId="0" xfId="0" applyFont="1"/>
    <xf numFmtId="3" fontId="7" fillId="0" borderId="0" xfId="0" applyNumberFormat="1" applyFont="1"/>
    <xf numFmtId="3" fontId="0" fillId="0" borderId="0" xfId="0" applyNumberFormat="1"/>
    <xf numFmtId="0" fontId="8" fillId="3" borderId="0" xfId="0" applyFont="1" applyFill="1" applyAlignment="1">
      <alignment horizontal="center" vertical="center" wrapText="1"/>
    </xf>
    <xf numFmtId="0" fontId="6" fillId="6" borderId="1" xfId="0" applyFont="1" applyFill="1" applyBorder="1"/>
    <xf numFmtId="3" fontId="6" fillId="6" borderId="1" xfId="0" applyNumberFormat="1" applyFont="1" applyFill="1" applyBorder="1"/>
    <xf numFmtId="165" fontId="6" fillId="6" borderId="1" xfId="0" applyNumberFormat="1" applyFont="1" applyFill="1" applyBorder="1"/>
    <xf numFmtId="0" fontId="7" fillId="0" borderId="1" xfId="0" applyFont="1" applyBorder="1"/>
    <xf numFmtId="0" fontId="7" fillId="0" borderId="1" xfId="0" applyFont="1" applyBorder="1" applyAlignment="1">
      <alignment vertical="top" wrapText="1"/>
    </xf>
    <xf numFmtId="3" fontId="7" fillId="0" borderId="1" xfId="0" applyNumberFormat="1" applyFont="1" applyBorder="1"/>
    <xf numFmtId="165" fontId="7" fillId="0" borderId="1" xfId="0" applyNumberFormat="1" applyFont="1" applyBorder="1"/>
    <xf numFmtId="0" fontId="9" fillId="0" borderId="1" xfId="0" applyFont="1" applyBorder="1"/>
    <xf numFmtId="0" fontId="10" fillId="0" borderId="1" xfId="0" applyFont="1" applyBorder="1"/>
    <xf numFmtId="0" fontId="11" fillId="0" borderId="1" xfId="0" applyFont="1" applyBorder="1"/>
    <xf numFmtId="0" fontId="12" fillId="0" borderId="1" xfId="0" applyFont="1" applyBorder="1"/>
    <xf numFmtId="0" fontId="13" fillId="7" borderId="1" xfId="0" applyFont="1" applyFill="1" applyBorder="1"/>
    <xf numFmtId="0" fontId="14" fillId="3" borderId="0" xfId="0" applyFont="1" applyFill="1"/>
    <xf numFmtId="3" fontId="14" fillId="3" borderId="0" xfId="0" applyNumberFormat="1" applyFont="1" applyFill="1"/>
    <xf numFmtId="0" fontId="15" fillId="0" borderId="0" xfId="0" applyFont="1"/>
    <xf numFmtId="0" fontId="16" fillId="0" borderId="0" xfId="0" applyFont="1"/>
    <xf numFmtId="0" fontId="7" fillId="0" borderId="1" xfId="0" applyFont="1" applyBorder="1" applyAlignment="1">
      <alignment horizontal="left" vertical="top" wrapText="1"/>
    </xf>
    <xf numFmtId="166" fontId="17" fillId="0" borderId="0" xfId="0" applyNumberFormat="1" applyFont="1"/>
    <xf numFmtId="0" fontId="18" fillId="0" borderId="0" xfId="0" applyFont="1"/>
    <xf numFmtId="0" fontId="0" fillId="6" borderId="0" xfId="0" applyFill="1"/>
    <xf numFmtId="0" fontId="6" fillId="6" borderId="0" xfId="0" applyFont="1" applyFill="1"/>
    <xf numFmtId="3" fontId="0" fillId="6" borderId="0" xfId="0" applyNumberFormat="1" applyFill="1"/>
    <xf numFmtId="165" fontId="0" fillId="6" borderId="0" xfId="0" applyNumberFormat="1" applyFill="1"/>
    <xf numFmtId="0" fontId="0" fillId="8" borderId="0" xfId="0" applyFill="1"/>
    <xf numFmtId="0" fontId="19" fillId="8" borderId="0" xfId="0" applyFont="1" applyFill="1"/>
    <xf numFmtId="3" fontId="20" fillId="8" borderId="0" xfId="0" applyNumberFormat="1" applyFont="1" applyFill="1"/>
    <xf numFmtId="165" fontId="20" fillId="8" borderId="0" xfId="0" applyNumberFormat="1" applyFont="1" applyFill="1"/>
    <xf numFmtId="0" fontId="0" fillId="0" borderId="1" xfId="0" applyBorder="1"/>
  </cellXfs>
  <cellStyles count="1">
    <cellStyle name="Normal" xfId="0" builtinId="0"/>
  </cellStyles>
  <dxfs count="1">
    <dxf>
      <fill>
        <patternFill>
          <bgColor rgb="FF59CBE8"/>
        </patternFill>
      </fill>
    </dxf>
  </dxfs>
  <tableStyles count="0" defaultTableStyle="TableStyleMedium2" defaultPivotStyle="PivotStyleLight16"/>
  <colors>
    <indexedColors>
      <rgbColor rgb="FF000000"/>
      <rgbColor rgb="FFFFFFFF"/>
      <rgbColor rgb="FFBB7235"/>
      <rgbColor rgb="FF89A54E"/>
      <rgbColor rgb="FF7A5AF8"/>
      <rgbColor rgb="FFB8CD97"/>
      <rgbColor rgb="FFCC8F8E"/>
      <rgbColor rgb="FF71B2C9"/>
      <rgbColor rgb="FF7A1519"/>
      <rgbColor rgb="FF4098B0"/>
      <rgbColor rgb="FFB07A1E"/>
      <rgbColor rgb="FF748D41"/>
      <rgbColor rgb="FFBE4B48"/>
      <rgbColor rgb="FF00778B"/>
      <rgbColor rgb="FFB7C3DA"/>
      <rgbColor rgb="FF7F7F7F"/>
      <rgbColor rgb="FF91A8CD"/>
      <rgbColor rgb="FF913A38"/>
      <rgbColor rgb="FFFFF3CD"/>
      <rgbColor rgb="FFDEF5FA"/>
      <rgbColor rgb="FF7F62A1"/>
      <rgbColor rgb="FFF79646"/>
      <rgbColor rgb="FF3A618E"/>
      <rgbColor rgb="FFBDC8DE"/>
      <rgbColor rgb="FFDCB7B6"/>
      <rgbColor rgb="FFD09493"/>
      <rgbColor rgb="FFB3C992"/>
      <rgbColor rgb="FFAAAAAA"/>
      <rgbColor rgb="FFC0504D"/>
      <rgbColor rgb="FFB96F30"/>
      <rgbColor rgb="FF1E7A4C"/>
      <rgbColor rgb="FFE0BDBC"/>
      <rgbColor rgb="FF49ABC6"/>
      <rgbColor rgb="FFCCCCCC"/>
      <rgbColor rgb="FFD9D9D9"/>
      <rgbColor rgb="FFF7DFE0"/>
      <rgbColor rgb="FF90C2D4"/>
      <rgbColor rgb="FFF5B089"/>
      <rgbColor rgb="FFA899BC"/>
      <rgbColor rgb="FFF8B590"/>
      <rgbColor rgb="FF4571A7"/>
      <rgbColor rgb="FF59CBE8"/>
      <rgbColor rgb="FF9ABA58"/>
      <rgbColor rgb="FFDC853E"/>
      <rgbColor rgb="FFF59240"/>
      <rgbColor rgb="FFDB8238"/>
      <rgbColor rgb="FF6B7280"/>
      <rgbColor rgb="FF878787"/>
      <rgbColor rgb="FF4E81BD"/>
      <rgbColor rgb="FF378195"/>
      <rgbColor rgb="FF768692"/>
      <rgbColor rgb="FF71588F"/>
      <rgbColor rgb="FFAB4744"/>
      <rgbColor rgb="FFAA433F"/>
      <rgbColor rgb="FF604B7A"/>
      <rgbColor rgb="FF3D39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Project Cost by WBS Group (SAR)</a:t>
            </a:r>
          </a:p>
        </c:rich>
      </c:tx>
      <c:overlay val="0"/>
      <c:spPr>
        <a:noFill/>
        <a:ln w="0">
          <a:noFill/>
        </a:ln>
      </c:spPr>
    </c:title>
    <c:autoTitleDeleted val="0"/>
    <c:plotArea>
      <c:layout/>
      <c:barChart>
        <c:barDir val="col"/>
        <c:grouping val="clustered"/>
        <c:varyColors val="0"/>
        <c:ser>
          <c:idx val="0"/>
          <c:order val="0"/>
          <c:tx>
            <c:strRef>
              <c:f>Dashboard!$B$12</c:f>
              <c:strCache>
                <c:ptCount val="1"/>
                <c:pt idx="0">
                  <c:v>Amount (SAR)</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Dashboard!$A$13:$A$19</c:f>
              <c:strCache>
                <c:ptCount val="7"/>
                <c:pt idx="0">
                  <c:v>1.0 Preliminaries &amp; General Requirements</c:v>
                </c:pt>
                <c:pt idx="1">
                  <c:v>2.0 Design Works</c:v>
                </c:pt>
                <c:pt idx="2">
                  <c:v>3.0 Main Building Works</c:v>
                </c:pt>
                <c:pt idx="3">
                  <c:v>4.0 Ancillary Buildings</c:v>
                </c:pt>
                <c:pt idx="4">
                  <c:v>5.0 External &amp; Site Development Works</c:v>
                </c:pt>
                <c:pt idx="5">
                  <c:v>6.0 Roads, Signalling &amp; External Works</c:v>
                </c:pt>
                <c:pt idx="6">
                  <c:v>7.0 Railway Track &amp; Turnout Works</c:v>
                </c:pt>
              </c:strCache>
            </c:strRef>
          </c:cat>
          <c:val>
            <c:numRef>
              <c:f>Dashboard!$B$13:$B$19</c:f>
              <c:numCache>
                <c:formatCode>#,##0</c:formatCode>
                <c:ptCount val="7"/>
                <c:pt idx="0">
                  <c:v>4900000</c:v>
                </c:pt>
                <c:pt idx="1">
                  <c:v>4889000</c:v>
                </c:pt>
                <c:pt idx="2">
                  <c:v>4550000</c:v>
                </c:pt>
                <c:pt idx="3">
                  <c:v>8501000</c:v>
                </c:pt>
                <c:pt idx="4">
                  <c:v>12170000</c:v>
                </c:pt>
                <c:pt idx="5">
                  <c:v>34090000</c:v>
                </c:pt>
                <c:pt idx="6">
                  <c:v>30899000</c:v>
                </c:pt>
              </c:numCache>
            </c:numRef>
          </c:val>
          <c:extLst>
            <c:ext xmlns:c16="http://schemas.microsoft.com/office/drawing/2014/chart" uri="{C3380CC4-5D6E-409C-BE32-E72D297353CC}">
              <c16:uniqueId val="{00000000-F546-4EC2-9D67-C7F5A1399514}"/>
            </c:ext>
          </c:extLst>
        </c:ser>
        <c:dLbls>
          <c:showLegendKey val="0"/>
          <c:showVal val="0"/>
          <c:showCatName val="0"/>
          <c:showSerName val="0"/>
          <c:showPercent val="0"/>
          <c:showBubbleSize val="0"/>
        </c:dLbls>
        <c:gapWidth val="150"/>
        <c:axId val="14810133"/>
        <c:axId val="80855832"/>
      </c:barChart>
      <c:catAx>
        <c:axId val="1481013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WBS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855832"/>
        <c:crosses val="autoZero"/>
        <c:auto val="1"/>
        <c:lblAlgn val="ctr"/>
        <c:lblOffset val="100"/>
        <c:noMultiLvlLbl val="0"/>
      </c:catAx>
      <c:valAx>
        <c:axId val="808558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SAR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8101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Cost Share: Phase 1 vs Phase 2</a:t>
            </a:r>
          </a:p>
        </c:rich>
      </c:tx>
      <c:overlay val="0"/>
      <c:spPr>
        <a:noFill/>
        <a:ln w="0">
          <a:noFill/>
        </a:ln>
      </c:spPr>
    </c:title>
    <c:autoTitleDeleted val="0"/>
    <c:plotArea>
      <c:layout/>
      <c:pieChart>
        <c:varyColors val="1"/>
        <c:ser>
          <c:idx val="0"/>
          <c:order val="0"/>
          <c:tx>
            <c:strRef>
              <c:f>Dashboard!$B$21</c:f>
              <c:strCache>
                <c:ptCount val="1"/>
                <c:pt idx="0">
                  <c:v>Amount (SAR)</c:v>
                </c:pt>
              </c:strCache>
            </c:strRef>
          </c:tx>
          <c:spPr>
            <a:solidFill>
              <a:srgbClr val="4F81BD"/>
            </a:solidFill>
            <a:ln w="0">
              <a:noFill/>
            </a:ln>
          </c:spPr>
          <c:dPt>
            <c:idx val="0"/>
            <c:bubble3D val="0"/>
            <c:extLst>
              <c:ext xmlns:c16="http://schemas.microsoft.com/office/drawing/2014/chart" uri="{C3380CC4-5D6E-409C-BE32-E72D297353CC}">
                <c16:uniqueId val="{00000001-76F3-4761-8EE2-CA1AC43699A1}"/>
              </c:ext>
            </c:extLst>
          </c:dPt>
          <c:dPt>
            <c:idx val="1"/>
            <c:bubble3D val="0"/>
            <c:spPr>
              <a:solidFill>
                <a:srgbClr val="C0504D"/>
              </a:solidFill>
              <a:ln w="0">
                <a:noFill/>
              </a:ln>
            </c:spPr>
            <c:extLst>
              <c:ext xmlns:c16="http://schemas.microsoft.com/office/drawing/2014/chart" uri="{C3380CC4-5D6E-409C-BE32-E72D297353CC}">
                <c16:uniqueId val="{00000003-76F3-4761-8EE2-CA1AC43699A1}"/>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76F3-4761-8EE2-CA1AC43699A1}"/>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76F3-4761-8EE2-CA1AC43699A1}"/>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Dashboard!$A$22:$A$23</c:f>
              <c:strCache>
                <c:ptCount val="2"/>
                <c:pt idx="0">
                  <c:v>Phase 1</c:v>
                </c:pt>
                <c:pt idx="1">
                  <c:v>Phase 2</c:v>
                </c:pt>
              </c:strCache>
            </c:strRef>
          </c:cat>
          <c:val>
            <c:numRef>
              <c:f>Dashboard!$B$22:$B$23</c:f>
              <c:numCache>
                <c:formatCode>#,##0</c:formatCode>
                <c:ptCount val="2"/>
                <c:pt idx="0">
                  <c:v>65009000</c:v>
                </c:pt>
                <c:pt idx="1">
                  <c:v>34990000</c:v>
                </c:pt>
              </c:numCache>
            </c:numRef>
          </c:val>
          <c:extLst>
            <c:ext xmlns:c16="http://schemas.microsoft.com/office/drawing/2014/chart" uri="{C3380CC4-5D6E-409C-BE32-E72D297353CC}">
              <c16:uniqueId val="{00000004-76F3-4761-8EE2-CA1AC43699A1}"/>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Monthly Cost-Loaded Spend (SAR)</a:t>
            </a:r>
          </a:p>
        </c:rich>
      </c:tx>
      <c:overlay val="0"/>
      <c:spPr>
        <a:noFill/>
        <a:ln w="0">
          <a:noFill/>
        </a:ln>
      </c:spPr>
    </c:title>
    <c:autoTitleDeleted val="0"/>
    <c:plotArea>
      <c:layout/>
      <c:barChart>
        <c:barDir val="col"/>
        <c:grouping val="clustered"/>
        <c:varyColors val="0"/>
        <c:ser>
          <c:idx val="0"/>
          <c:order val="0"/>
          <c:spPr>
            <a:solidFill>
              <a:srgbClr val="3C628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Schedule'!$K$80</c:f>
              <c:numCache>
                <c:formatCode>#,##0</c:formatCode>
                <c:ptCount val="1"/>
                <c:pt idx="0">
                  <c:v>188461.53846153847</c:v>
                </c:pt>
              </c:numCache>
            </c:numRef>
          </c:val>
          <c:extLst>
            <c:ext xmlns:c16="http://schemas.microsoft.com/office/drawing/2014/chart" uri="{C3380CC4-5D6E-409C-BE32-E72D297353CC}">
              <c16:uniqueId val="{00000000-322F-444A-9D96-4E4489A49578}"/>
            </c:ext>
          </c:extLst>
        </c:ser>
        <c:ser>
          <c:idx val="1"/>
          <c:order val="1"/>
          <c:spPr>
            <a:solidFill>
              <a:srgbClr val="923C3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Schedule'!$L$80</c:f>
              <c:numCache>
                <c:formatCode>#,##0</c:formatCode>
                <c:ptCount val="1"/>
                <c:pt idx="0">
                  <c:v>467832.96703296748</c:v>
                </c:pt>
              </c:numCache>
            </c:numRef>
          </c:val>
          <c:extLst>
            <c:ext xmlns:c16="http://schemas.microsoft.com/office/drawing/2014/chart" uri="{C3380CC4-5D6E-409C-BE32-E72D297353CC}">
              <c16:uniqueId val="{00000001-322F-444A-9D96-4E4489A49578}"/>
            </c:ext>
          </c:extLst>
        </c:ser>
        <c:ser>
          <c:idx val="2"/>
          <c:order val="2"/>
          <c:spPr>
            <a:solidFill>
              <a:srgbClr val="758E4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Schedule'!$M$80</c:f>
              <c:numCache>
                <c:formatCode>#,##0</c:formatCode>
                <c:ptCount val="1"/>
                <c:pt idx="0">
                  <c:v>607518.68131868145</c:v>
                </c:pt>
              </c:numCache>
            </c:numRef>
          </c:val>
          <c:extLst>
            <c:ext xmlns:c16="http://schemas.microsoft.com/office/drawing/2014/chart" uri="{C3380CC4-5D6E-409C-BE32-E72D297353CC}">
              <c16:uniqueId val="{00000002-322F-444A-9D96-4E4489A49578}"/>
            </c:ext>
          </c:extLst>
        </c:ser>
        <c:ser>
          <c:idx val="3"/>
          <c:order val="3"/>
          <c:spPr>
            <a:solidFill>
              <a:srgbClr val="614C7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Schedule'!$N$80</c:f>
              <c:numCache>
                <c:formatCode>#,##0</c:formatCode>
                <c:ptCount val="1"/>
                <c:pt idx="0">
                  <c:v>747204.39560439554</c:v>
                </c:pt>
              </c:numCache>
            </c:numRef>
          </c:val>
          <c:extLst>
            <c:ext xmlns:c16="http://schemas.microsoft.com/office/drawing/2014/chart" uri="{C3380CC4-5D6E-409C-BE32-E72D297353CC}">
              <c16:uniqueId val="{00000003-322F-444A-9D96-4E4489A49578}"/>
            </c:ext>
          </c:extLst>
        </c:ser>
        <c:ser>
          <c:idx val="4"/>
          <c:order val="4"/>
          <c:spPr>
            <a:solidFill>
              <a:srgbClr val="39829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Schedule'!$O$80</c:f>
              <c:numCache>
                <c:formatCode>#,##0</c:formatCode>
                <c:ptCount val="1"/>
                <c:pt idx="0">
                  <c:v>607518.68131868145</c:v>
                </c:pt>
              </c:numCache>
            </c:numRef>
          </c:val>
          <c:extLst>
            <c:ext xmlns:c16="http://schemas.microsoft.com/office/drawing/2014/chart" uri="{C3380CC4-5D6E-409C-BE32-E72D297353CC}">
              <c16:uniqueId val="{00000004-322F-444A-9D96-4E4489A49578}"/>
            </c:ext>
          </c:extLst>
        </c:ser>
        <c:ser>
          <c:idx val="5"/>
          <c:order val="5"/>
          <c:spPr>
            <a:solidFill>
              <a:srgbClr val="BB723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Schedule'!$P$80</c:f>
              <c:numCache>
                <c:formatCode>#,##0</c:formatCode>
                <c:ptCount val="1"/>
                <c:pt idx="0">
                  <c:v>607518.68131868145</c:v>
                </c:pt>
              </c:numCache>
            </c:numRef>
          </c:val>
          <c:extLst>
            <c:ext xmlns:c16="http://schemas.microsoft.com/office/drawing/2014/chart" uri="{C3380CC4-5D6E-409C-BE32-E72D297353CC}">
              <c16:uniqueId val="{00000005-322F-444A-9D96-4E4489A49578}"/>
            </c:ext>
          </c:extLst>
        </c:ser>
        <c:ser>
          <c:idx val="6"/>
          <c:order val="6"/>
          <c:spPr>
            <a:solidFill>
              <a:srgbClr val="4672A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Schedule'!$Q$80</c:f>
              <c:numCache>
                <c:formatCode>#,##0</c:formatCode>
                <c:ptCount val="1"/>
                <c:pt idx="0">
                  <c:v>1284931.8956043934</c:v>
                </c:pt>
              </c:numCache>
            </c:numRef>
          </c:val>
          <c:extLst>
            <c:ext xmlns:c16="http://schemas.microsoft.com/office/drawing/2014/chart" uri="{C3380CC4-5D6E-409C-BE32-E72D297353CC}">
              <c16:uniqueId val="{00000006-322F-444A-9D96-4E4489A49578}"/>
            </c:ext>
          </c:extLst>
        </c:ser>
        <c:ser>
          <c:idx val="7"/>
          <c:order val="7"/>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Schedule'!$R$80</c:f>
              <c:numCache>
                <c:formatCode>#,##0</c:formatCode>
                <c:ptCount val="1"/>
                <c:pt idx="0">
                  <c:v>2415736.8956043934</c:v>
                </c:pt>
              </c:numCache>
            </c:numRef>
          </c:val>
          <c:extLst>
            <c:ext xmlns:c16="http://schemas.microsoft.com/office/drawing/2014/chart" uri="{C3380CC4-5D6E-409C-BE32-E72D297353CC}">
              <c16:uniqueId val="{00000007-322F-444A-9D96-4E4489A49578}"/>
            </c:ext>
          </c:extLst>
        </c:ser>
        <c:ser>
          <c:idx val="8"/>
          <c:order val="8"/>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Schedule'!$S$80</c:f>
              <c:numCache>
                <c:formatCode>#,##0</c:formatCode>
                <c:ptCount val="1"/>
                <c:pt idx="0">
                  <c:v>1988709.3956043953</c:v>
                </c:pt>
              </c:numCache>
            </c:numRef>
          </c:val>
          <c:extLst>
            <c:ext xmlns:c16="http://schemas.microsoft.com/office/drawing/2014/chart" uri="{C3380CC4-5D6E-409C-BE32-E72D297353CC}">
              <c16:uniqueId val="{00000008-322F-444A-9D96-4E4489A49578}"/>
            </c:ext>
          </c:extLst>
        </c:ser>
        <c:ser>
          <c:idx val="9"/>
          <c:order val="9"/>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Schedule'!$T$80</c:f>
              <c:numCache>
                <c:formatCode>#,##0</c:formatCode>
                <c:ptCount val="1"/>
                <c:pt idx="0">
                  <c:v>2117859.3956043953</c:v>
                </c:pt>
              </c:numCache>
            </c:numRef>
          </c:val>
          <c:extLst>
            <c:ext xmlns:c16="http://schemas.microsoft.com/office/drawing/2014/chart" uri="{C3380CC4-5D6E-409C-BE32-E72D297353CC}">
              <c16:uniqueId val="{00000009-322F-444A-9D96-4E4489A49578}"/>
            </c:ext>
          </c:extLst>
        </c:ser>
        <c:ser>
          <c:idx val="10"/>
          <c:order val="10"/>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Schedule'!$U$80</c:f>
              <c:numCache>
                <c:formatCode>#,##0</c:formatCode>
                <c:ptCount val="1"/>
                <c:pt idx="0">
                  <c:v>3618259.3956043953</c:v>
                </c:pt>
              </c:numCache>
            </c:numRef>
          </c:val>
          <c:extLst>
            <c:ext xmlns:c16="http://schemas.microsoft.com/office/drawing/2014/chart" uri="{C3380CC4-5D6E-409C-BE32-E72D297353CC}">
              <c16:uniqueId val="{0000000A-322F-444A-9D96-4E4489A49578}"/>
            </c:ext>
          </c:extLst>
        </c:ser>
        <c:ser>
          <c:idx val="11"/>
          <c:order val="11"/>
          <c:spPr>
            <a:solidFill>
              <a:srgbClr val="DC853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Schedule'!$V$80</c:f>
              <c:numCache>
                <c:formatCode>#,##0</c:formatCode>
                <c:ptCount val="1"/>
                <c:pt idx="0">
                  <c:v>7519316.538461538</c:v>
                </c:pt>
              </c:numCache>
            </c:numRef>
          </c:val>
          <c:extLst>
            <c:ext xmlns:c16="http://schemas.microsoft.com/office/drawing/2014/chart" uri="{C3380CC4-5D6E-409C-BE32-E72D297353CC}">
              <c16:uniqueId val="{0000000B-322F-444A-9D96-4E4489A49578}"/>
            </c:ext>
          </c:extLst>
        </c:ser>
        <c:ser>
          <c:idx val="12"/>
          <c:order val="12"/>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Schedule'!$W$80</c:f>
              <c:numCache>
                <c:formatCode>#,##0</c:formatCode>
                <c:ptCount val="1"/>
                <c:pt idx="0">
                  <c:v>3156917.6268969127</c:v>
                </c:pt>
              </c:numCache>
            </c:numRef>
          </c:val>
          <c:extLst>
            <c:ext xmlns:c16="http://schemas.microsoft.com/office/drawing/2014/chart" uri="{C3380CC4-5D6E-409C-BE32-E72D297353CC}">
              <c16:uniqueId val="{0000000C-322F-444A-9D96-4E4489A49578}"/>
            </c:ext>
          </c:extLst>
        </c:ser>
        <c:ser>
          <c:idx val="13"/>
          <c:order val="13"/>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Schedule'!$X$80</c:f>
              <c:numCache>
                <c:formatCode>#,##0</c:formatCode>
                <c:ptCount val="1"/>
                <c:pt idx="0">
                  <c:v>3945618.7153322869</c:v>
                </c:pt>
              </c:numCache>
            </c:numRef>
          </c:val>
          <c:extLst>
            <c:ext xmlns:c16="http://schemas.microsoft.com/office/drawing/2014/chart" uri="{C3380CC4-5D6E-409C-BE32-E72D297353CC}">
              <c16:uniqueId val="{0000000D-322F-444A-9D96-4E4489A49578}"/>
            </c:ext>
          </c:extLst>
        </c:ser>
        <c:ser>
          <c:idx val="14"/>
          <c:order val="14"/>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Schedule'!$Y$80</c:f>
              <c:numCache>
                <c:formatCode>#,##0</c:formatCode>
                <c:ptCount val="1"/>
                <c:pt idx="0">
                  <c:v>4658832.3037676606</c:v>
                </c:pt>
              </c:numCache>
            </c:numRef>
          </c:val>
          <c:extLst>
            <c:ext xmlns:c16="http://schemas.microsoft.com/office/drawing/2014/chart" uri="{C3380CC4-5D6E-409C-BE32-E72D297353CC}">
              <c16:uniqueId val="{0000000E-322F-444A-9D96-4E4489A49578}"/>
            </c:ext>
          </c:extLst>
        </c:ser>
        <c:ser>
          <c:idx val="15"/>
          <c:order val="15"/>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Schedule'!$Z$80</c:f>
              <c:numCache>
                <c:formatCode>#,##0</c:formatCode>
                <c:ptCount val="1"/>
                <c:pt idx="0">
                  <c:v>5335445.8922030348</c:v>
                </c:pt>
              </c:numCache>
            </c:numRef>
          </c:val>
          <c:extLst>
            <c:ext xmlns:c16="http://schemas.microsoft.com/office/drawing/2014/chart" uri="{C3380CC4-5D6E-409C-BE32-E72D297353CC}">
              <c16:uniqueId val="{0000000F-322F-444A-9D96-4E4489A49578}"/>
            </c:ext>
          </c:extLst>
        </c:ser>
        <c:ser>
          <c:idx val="16"/>
          <c:order val="16"/>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Schedule'!$AA$80</c:f>
              <c:numCache>
                <c:formatCode>#,##0</c:formatCode>
                <c:ptCount val="1"/>
                <c:pt idx="0">
                  <c:v>5219352.8139717421</c:v>
                </c:pt>
              </c:numCache>
            </c:numRef>
          </c:val>
          <c:extLst>
            <c:ext xmlns:c16="http://schemas.microsoft.com/office/drawing/2014/chart" uri="{C3380CC4-5D6E-409C-BE32-E72D297353CC}">
              <c16:uniqueId val="{00000010-322F-444A-9D96-4E4489A49578}"/>
            </c:ext>
          </c:extLst>
        </c:ser>
        <c:ser>
          <c:idx val="17"/>
          <c:order val="17"/>
          <c:spPr>
            <a:solidFill>
              <a:srgbClr val="F7964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Schedule'!$AB$80</c:f>
              <c:numCache>
                <c:formatCode>#,##0</c:formatCode>
                <c:ptCount val="1"/>
                <c:pt idx="0">
                  <c:v>6098321.4024071163</c:v>
                </c:pt>
              </c:numCache>
            </c:numRef>
          </c:val>
          <c:extLst>
            <c:ext xmlns:c16="http://schemas.microsoft.com/office/drawing/2014/chart" uri="{C3380CC4-5D6E-409C-BE32-E72D297353CC}">
              <c16:uniqueId val="{00000011-322F-444A-9D96-4E4489A49578}"/>
            </c:ext>
          </c:extLst>
        </c:ser>
        <c:ser>
          <c:idx val="18"/>
          <c:order val="18"/>
          <c:spPr>
            <a:solidFill>
              <a:srgbClr val="93A9C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Schedule'!$AC$80</c:f>
              <c:numCache>
                <c:formatCode>#,##0</c:formatCode>
                <c:ptCount val="1"/>
                <c:pt idx="0">
                  <c:v>7253974.5146520147</c:v>
                </c:pt>
              </c:numCache>
            </c:numRef>
          </c:val>
          <c:extLst>
            <c:ext xmlns:c16="http://schemas.microsoft.com/office/drawing/2014/chart" uri="{C3380CC4-5D6E-409C-BE32-E72D297353CC}">
              <c16:uniqueId val="{00000012-322F-444A-9D96-4E4489A49578}"/>
            </c:ext>
          </c:extLst>
        </c:ser>
        <c:ser>
          <c:idx val="19"/>
          <c:order val="19"/>
          <c:spPr>
            <a:solidFill>
              <a:srgbClr val="D09493"/>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Schedule'!$AD$80</c:f>
              <c:numCache>
                <c:formatCode>#,##0</c:formatCode>
                <c:ptCount val="1"/>
                <c:pt idx="0">
                  <c:v>5952875.9262166405</c:v>
                </c:pt>
              </c:numCache>
            </c:numRef>
          </c:val>
          <c:extLst>
            <c:ext xmlns:c16="http://schemas.microsoft.com/office/drawing/2014/chart" uri="{C3380CC4-5D6E-409C-BE32-E72D297353CC}">
              <c16:uniqueId val="{00000013-322F-444A-9D96-4E4489A49578}"/>
            </c:ext>
          </c:extLst>
        </c:ser>
        <c:ser>
          <c:idx val="20"/>
          <c:order val="20"/>
          <c:spPr>
            <a:solidFill>
              <a:srgbClr val="B8CD9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Schedule'!$AE$80</c:f>
              <c:numCache>
                <c:formatCode>#,##0</c:formatCode>
                <c:ptCount val="1"/>
                <c:pt idx="0">
                  <c:v>6258827.3377812654</c:v>
                </c:pt>
              </c:numCache>
            </c:numRef>
          </c:val>
          <c:extLst>
            <c:ext xmlns:c16="http://schemas.microsoft.com/office/drawing/2014/chart" uri="{C3380CC4-5D6E-409C-BE32-E72D297353CC}">
              <c16:uniqueId val="{00000014-322F-444A-9D96-4E4489A49578}"/>
            </c:ext>
          </c:extLst>
        </c:ser>
        <c:ser>
          <c:idx val="21"/>
          <c:order val="21"/>
          <c:spPr>
            <a:solidFill>
              <a:srgbClr val="A99B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Schedule'!$AF$80</c:f>
              <c:numCache>
                <c:formatCode>#,##0</c:formatCode>
                <c:ptCount val="1"/>
                <c:pt idx="0">
                  <c:v>7238130.4160125582</c:v>
                </c:pt>
              </c:numCache>
            </c:numRef>
          </c:val>
          <c:extLst>
            <c:ext xmlns:c16="http://schemas.microsoft.com/office/drawing/2014/chart" uri="{C3380CC4-5D6E-409C-BE32-E72D297353CC}">
              <c16:uniqueId val="{00000015-322F-444A-9D96-4E4489A49578}"/>
            </c:ext>
          </c:extLst>
        </c:ser>
        <c:ser>
          <c:idx val="22"/>
          <c:order val="22"/>
          <c:spPr>
            <a:solidFill>
              <a:srgbClr val="92C3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Schedule'!$AG$80</c:f>
              <c:numCache>
                <c:formatCode>#,##0</c:formatCode>
                <c:ptCount val="1"/>
                <c:pt idx="0">
                  <c:v>7698944.3275771849</c:v>
                </c:pt>
              </c:numCache>
            </c:numRef>
          </c:val>
          <c:extLst>
            <c:ext xmlns:c16="http://schemas.microsoft.com/office/drawing/2014/chart" uri="{C3380CC4-5D6E-409C-BE32-E72D297353CC}">
              <c16:uniqueId val="{00000016-322F-444A-9D96-4E4489A49578}"/>
            </c:ext>
          </c:extLst>
        </c:ser>
        <c:ser>
          <c:idx val="23"/>
          <c:order val="23"/>
          <c:spPr>
            <a:solidFill>
              <a:srgbClr val="F8B5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Schedule'!$AH$80</c:f>
              <c:numCache>
                <c:formatCode>#,##0</c:formatCode>
                <c:ptCount val="1"/>
                <c:pt idx="0">
                  <c:v>7170574.9058084777</c:v>
                </c:pt>
              </c:numCache>
            </c:numRef>
          </c:val>
          <c:extLst>
            <c:ext xmlns:c16="http://schemas.microsoft.com/office/drawing/2014/chart" uri="{C3380CC4-5D6E-409C-BE32-E72D297353CC}">
              <c16:uniqueId val="{00000017-322F-444A-9D96-4E4489A49578}"/>
            </c:ext>
          </c:extLst>
        </c:ser>
        <c:ser>
          <c:idx val="24"/>
          <c:order val="24"/>
          <c:spPr>
            <a:solidFill>
              <a:srgbClr val="BDC8D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Schedule'!$AI$80</c:f>
              <c:numCache>
                <c:formatCode>#,##0</c:formatCode>
                <c:ptCount val="1"/>
                <c:pt idx="0">
                  <c:v>5012122.1507064356</c:v>
                </c:pt>
              </c:numCache>
            </c:numRef>
          </c:val>
          <c:extLst>
            <c:ext xmlns:c16="http://schemas.microsoft.com/office/drawing/2014/chart" uri="{C3380CC4-5D6E-409C-BE32-E72D297353CC}">
              <c16:uniqueId val="{00000018-322F-444A-9D96-4E4489A49578}"/>
            </c:ext>
          </c:extLst>
        </c:ser>
        <c:ser>
          <c:idx val="25"/>
          <c:order val="25"/>
          <c:spPr>
            <a:solidFill>
              <a:srgbClr val="E0BDB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Schedule'!$AJ$80</c:f>
              <c:numCache>
                <c:formatCode>#,##0</c:formatCode>
                <c:ptCount val="1"/>
                <c:pt idx="0">
                  <c:v>2828193.205128205</c:v>
                </c:pt>
              </c:numCache>
            </c:numRef>
          </c:val>
          <c:extLst>
            <c:ext xmlns:c16="http://schemas.microsoft.com/office/drawing/2014/chart" uri="{C3380CC4-5D6E-409C-BE32-E72D297353CC}">
              <c16:uniqueId val="{00000019-322F-444A-9D96-4E4489A49578}"/>
            </c:ext>
          </c:extLst>
        </c:ser>
        <c:dLbls>
          <c:showLegendKey val="0"/>
          <c:showVal val="0"/>
          <c:showCatName val="0"/>
          <c:showSerName val="0"/>
          <c:showPercent val="0"/>
          <c:showBubbleSize val="0"/>
        </c:dLbls>
        <c:gapWidth val="150"/>
        <c:axId val="34189068"/>
        <c:axId val="47666436"/>
      </c:barChart>
      <c:catAx>
        <c:axId val="341890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666436"/>
        <c:crosses val="autoZero"/>
        <c:auto val="1"/>
        <c:lblAlgn val="ctr"/>
        <c:lblOffset val="100"/>
        <c:noMultiLvlLbl val="0"/>
      </c:catAx>
      <c:valAx>
        <c:axId val="4766643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SAR / month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18906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Cumulative % Complete (S-Curve)</a:t>
            </a:r>
          </a:p>
        </c:rich>
      </c:tx>
      <c:overlay val="0"/>
      <c:spPr>
        <a:noFill/>
        <a:ln w="0">
          <a:noFill/>
        </a:ln>
      </c:spPr>
    </c:title>
    <c:autoTitleDeleted val="0"/>
    <c:plotArea>
      <c:layout/>
      <c:lineChart>
        <c:grouping val="standard"/>
        <c:varyColors val="0"/>
        <c:ser>
          <c:idx val="0"/>
          <c:order val="0"/>
          <c:spPr>
            <a:ln w="28440">
              <a:solidFill>
                <a:srgbClr val="385F8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Schedule'!$K$82</c:f>
              <c:numCache>
                <c:formatCode>0.0%</c:formatCode>
                <c:ptCount val="1"/>
                <c:pt idx="0">
                  <c:v>1.8846342309576942E-3</c:v>
                </c:pt>
              </c:numCache>
            </c:numRef>
          </c:val>
          <c:smooth val="1"/>
          <c:extLst>
            <c:ext xmlns:c16="http://schemas.microsoft.com/office/drawing/2014/chart" uri="{C3380CC4-5D6E-409C-BE32-E72D297353CC}">
              <c16:uniqueId val="{00000000-305E-4184-9394-225657D37384}"/>
            </c:ext>
          </c:extLst>
        </c:ser>
        <c:ser>
          <c:idx val="1"/>
          <c:order val="1"/>
          <c:spPr>
            <a:ln w="28440">
              <a:solidFill>
                <a:srgbClr val="90383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Schedule'!$L$82</c:f>
              <c:numCache>
                <c:formatCode>0.0%</c:formatCode>
                <c:ptCount val="1"/>
                <c:pt idx="0">
                  <c:v>6.5630106850519104E-3</c:v>
                </c:pt>
              </c:numCache>
            </c:numRef>
          </c:val>
          <c:smooth val="1"/>
          <c:extLst>
            <c:ext xmlns:c16="http://schemas.microsoft.com/office/drawing/2014/chart" uri="{C3380CC4-5D6E-409C-BE32-E72D297353CC}">
              <c16:uniqueId val="{00000001-305E-4184-9394-225657D37384}"/>
            </c:ext>
          </c:extLst>
        </c:ser>
        <c:ser>
          <c:idx val="2"/>
          <c:order val="2"/>
          <c:spPr>
            <a:ln w="28440">
              <a:solidFill>
                <a:srgbClr val="738C3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Schedule'!$M$82</c:f>
              <c:numCache>
                <c:formatCode>0.0%</c:formatCode>
                <c:ptCount val="1"/>
                <c:pt idx="0">
                  <c:v>1.2638258250714381E-2</c:v>
                </c:pt>
              </c:numCache>
            </c:numRef>
          </c:val>
          <c:smooth val="1"/>
          <c:extLst>
            <c:ext xmlns:c16="http://schemas.microsoft.com/office/drawing/2014/chart" uri="{C3380CC4-5D6E-409C-BE32-E72D297353CC}">
              <c16:uniqueId val="{00000002-305E-4184-9394-225657D37384}"/>
            </c:ext>
          </c:extLst>
        </c:ser>
        <c:ser>
          <c:idx val="3"/>
          <c:order val="3"/>
          <c:spPr>
            <a:ln w="28440">
              <a:solidFill>
                <a:srgbClr val="5E497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Schedule'!$N$82</c:f>
              <c:numCache>
                <c:formatCode>0.0%</c:formatCode>
                <c:ptCount val="1"/>
                <c:pt idx="0">
                  <c:v>2.0110376927945109E-2</c:v>
                </c:pt>
              </c:numCache>
            </c:numRef>
          </c:val>
          <c:smooth val="1"/>
          <c:extLst>
            <c:ext xmlns:c16="http://schemas.microsoft.com/office/drawing/2014/chart" uri="{C3380CC4-5D6E-409C-BE32-E72D297353CC}">
              <c16:uniqueId val="{00000003-305E-4184-9394-225657D37384}"/>
            </c:ext>
          </c:extLst>
        </c:ser>
        <c:ser>
          <c:idx val="4"/>
          <c:order val="4"/>
          <c:spPr>
            <a:ln w="28440">
              <a:solidFill>
                <a:srgbClr val="35809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Schedule'!$O$82</c:f>
              <c:numCache>
                <c:formatCode>0.0%</c:formatCode>
                <c:ptCount val="1"/>
                <c:pt idx="0">
                  <c:v>2.618562449360758E-2</c:v>
                </c:pt>
              </c:numCache>
            </c:numRef>
          </c:val>
          <c:smooth val="1"/>
          <c:extLst>
            <c:ext xmlns:c16="http://schemas.microsoft.com/office/drawing/2014/chart" uri="{C3380CC4-5D6E-409C-BE32-E72D297353CC}">
              <c16:uniqueId val="{00000004-305E-4184-9394-225657D37384}"/>
            </c:ext>
          </c:extLst>
        </c:ser>
        <c:ser>
          <c:idx val="5"/>
          <c:order val="5"/>
          <c:spPr>
            <a:ln w="28440">
              <a:solidFill>
                <a:srgbClr val="B96F3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Schedule'!$P$82</c:f>
              <c:numCache>
                <c:formatCode>0.0%</c:formatCode>
                <c:ptCount val="1"/>
                <c:pt idx="0">
                  <c:v>3.226087205927005E-2</c:v>
                </c:pt>
              </c:numCache>
            </c:numRef>
          </c:val>
          <c:smooth val="1"/>
          <c:extLst>
            <c:ext xmlns:c16="http://schemas.microsoft.com/office/drawing/2014/chart" uri="{C3380CC4-5D6E-409C-BE32-E72D297353CC}">
              <c16:uniqueId val="{00000005-305E-4184-9394-225657D37384}"/>
            </c:ext>
          </c:extLst>
        </c:ser>
        <c:ser>
          <c:idx val="6"/>
          <c:order val="6"/>
          <c:spPr>
            <a:ln w="28440">
              <a:solidFill>
                <a:srgbClr val="426FA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Schedule'!$Q$82</c:f>
              <c:numCache>
                <c:formatCode>0.0%</c:formatCode>
                <c:ptCount val="1"/>
                <c:pt idx="0">
                  <c:v>4.5110319509788485E-2</c:v>
                </c:pt>
              </c:numCache>
            </c:numRef>
          </c:val>
          <c:smooth val="1"/>
          <c:extLst>
            <c:ext xmlns:c16="http://schemas.microsoft.com/office/drawing/2014/chart" uri="{C3380CC4-5D6E-409C-BE32-E72D297353CC}">
              <c16:uniqueId val="{00000006-305E-4184-9394-225657D37384}"/>
            </c:ext>
          </c:extLst>
        </c:ser>
        <c:ser>
          <c:idx val="7"/>
          <c:order val="7"/>
          <c:spPr>
            <a:ln w="28440">
              <a:solidFill>
                <a:srgbClr val="AA433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Schedule'!$R$82</c:f>
              <c:numCache>
                <c:formatCode>0.0%</c:formatCode>
                <c:ptCount val="1"/>
                <c:pt idx="0">
                  <c:v>6.926793004193775E-2</c:v>
                </c:pt>
              </c:numCache>
            </c:numRef>
          </c:val>
          <c:smooth val="1"/>
          <c:extLst>
            <c:ext xmlns:c16="http://schemas.microsoft.com/office/drawing/2014/chart" uri="{C3380CC4-5D6E-409C-BE32-E72D297353CC}">
              <c16:uniqueId val="{00000007-305E-4184-9394-225657D37384}"/>
            </c:ext>
          </c:extLst>
        </c:ser>
        <c:ser>
          <c:idx val="8"/>
          <c:order val="8"/>
          <c:spPr>
            <a:ln w="28440">
              <a:solidFill>
                <a:srgbClr val="87A44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Schedule'!$S$82</c:f>
              <c:numCache>
                <c:formatCode>0.0%</c:formatCode>
                <c:ptCount val="1"/>
                <c:pt idx="0">
                  <c:v>8.9155222870909989E-2</c:v>
                </c:pt>
              </c:numCache>
            </c:numRef>
          </c:val>
          <c:smooth val="1"/>
          <c:extLst>
            <c:ext xmlns:c16="http://schemas.microsoft.com/office/drawing/2014/chart" uri="{C3380CC4-5D6E-409C-BE32-E72D297353CC}">
              <c16:uniqueId val="{00000008-305E-4184-9394-225657D37384}"/>
            </c:ext>
          </c:extLst>
        </c:ser>
        <c:ser>
          <c:idx val="9"/>
          <c:order val="9"/>
          <c:spPr>
            <a:ln w="28440">
              <a:solidFill>
                <a:srgbClr val="6F568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Schedule'!$T$82</c:f>
              <c:numCache>
                <c:formatCode>0.0%</c:formatCode>
                <c:ptCount val="1"/>
                <c:pt idx="0">
                  <c:v>0.11033402861501138</c:v>
                </c:pt>
              </c:numCache>
            </c:numRef>
          </c:val>
          <c:smooth val="1"/>
          <c:extLst>
            <c:ext xmlns:c16="http://schemas.microsoft.com/office/drawing/2014/chart" uri="{C3380CC4-5D6E-409C-BE32-E72D297353CC}">
              <c16:uniqueId val="{00000009-305E-4184-9394-225657D37384}"/>
            </c:ext>
          </c:extLst>
        </c:ser>
        <c:ser>
          <c:idx val="10"/>
          <c:order val="10"/>
          <c:spPr>
            <a:ln w="28440">
              <a:solidFill>
                <a:srgbClr val="3D97A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Schedule'!$U$82</c:f>
              <c:numCache>
                <c:formatCode>0.0%</c:formatCode>
                <c:ptCount val="1"/>
                <c:pt idx="0">
                  <c:v>0.14651698440061317</c:v>
                </c:pt>
              </c:numCache>
            </c:numRef>
          </c:val>
          <c:smooth val="1"/>
          <c:extLst>
            <c:ext xmlns:c16="http://schemas.microsoft.com/office/drawing/2014/chart" uri="{C3380CC4-5D6E-409C-BE32-E72D297353CC}">
              <c16:uniqueId val="{0000000A-305E-4184-9394-225657D37384}"/>
            </c:ext>
          </c:extLst>
        </c:ser>
        <c:ser>
          <c:idx val="11"/>
          <c:order val="11"/>
          <c:spPr>
            <a:ln w="28440">
              <a:solidFill>
                <a:srgbClr val="DB823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Schedule'!$V$82</c:f>
              <c:numCache>
                <c:formatCode>0.0%</c:formatCode>
                <c:ptCount val="1"/>
                <c:pt idx="0">
                  <c:v>0.2217109017244018</c:v>
                </c:pt>
              </c:numCache>
            </c:numRef>
          </c:val>
          <c:smooth val="1"/>
          <c:extLst>
            <c:ext xmlns:c16="http://schemas.microsoft.com/office/drawing/2014/chart" uri="{C3380CC4-5D6E-409C-BE32-E72D297353CC}">
              <c16:uniqueId val="{0000000B-305E-4184-9394-225657D37384}"/>
            </c:ext>
          </c:extLst>
        </c:ser>
        <c:ser>
          <c:idx val="12"/>
          <c:order val="12"/>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Schedule'!$W$82</c:f>
              <c:numCache>
                <c:formatCode>0.0%</c:formatCode>
                <c:ptCount val="1"/>
                <c:pt idx="0">
                  <c:v>0.25328039368829058</c:v>
                </c:pt>
              </c:numCache>
            </c:numRef>
          </c:val>
          <c:smooth val="1"/>
          <c:extLst>
            <c:ext xmlns:c16="http://schemas.microsoft.com/office/drawing/2014/chart" uri="{C3380CC4-5D6E-409C-BE32-E72D297353CC}">
              <c16:uniqueId val="{0000000C-305E-4184-9394-225657D37384}"/>
            </c:ext>
          </c:extLst>
        </c:ser>
        <c:ser>
          <c:idx val="13"/>
          <c:order val="13"/>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Schedule'!$X$82</c:f>
              <c:numCache>
                <c:formatCode>0.0%</c:formatCode>
                <c:ptCount val="1"/>
                <c:pt idx="0">
                  <c:v>0.29273697540743066</c:v>
                </c:pt>
              </c:numCache>
            </c:numRef>
          </c:val>
          <c:smooth val="1"/>
          <c:extLst>
            <c:ext xmlns:c16="http://schemas.microsoft.com/office/drawing/2014/chart" uri="{C3380CC4-5D6E-409C-BE32-E72D297353CC}">
              <c16:uniqueId val="{0000000D-305E-4184-9394-225657D37384}"/>
            </c:ext>
          </c:extLst>
        </c:ser>
        <c:ser>
          <c:idx val="14"/>
          <c:order val="14"/>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Schedule'!$Y$82</c:f>
              <c:numCache>
                <c:formatCode>0.0%</c:formatCode>
                <c:ptCount val="1"/>
                <c:pt idx="0">
                  <c:v>0.33932576433299649</c:v>
                </c:pt>
              </c:numCache>
            </c:numRef>
          </c:val>
          <c:smooth val="1"/>
          <c:extLst>
            <c:ext xmlns:c16="http://schemas.microsoft.com/office/drawing/2014/chart" uri="{C3380CC4-5D6E-409C-BE32-E72D297353CC}">
              <c16:uniqueId val="{0000000E-305E-4184-9394-225657D37384}"/>
            </c:ext>
          </c:extLst>
        </c:ser>
        <c:ser>
          <c:idx val="15"/>
          <c:order val="15"/>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Schedule'!$Z$82</c:f>
              <c:numCache>
                <c:formatCode>0.0%</c:formatCode>
                <c:ptCount val="1"/>
                <c:pt idx="0">
                  <c:v>0.39268075680495157</c:v>
                </c:pt>
              </c:numCache>
            </c:numRef>
          </c:val>
          <c:smooth val="1"/>
          <c:extLst>
            <c:ext xmlns:c16="http://schemas.microsoft.com/office/drawing/2014/chart" uri="{C3380CC4-5D6E-409C-BE32-E72D297353CC}">
              <c16:uniqueId val="{0000000F-305E-4184-9394-225657D37384}"/>
            </c:ext>
          </c:extLst>
        </c:ser>
        <c:ser>
          <c:idx val="16"/>
          <c:order val="16"/>
          <c:spPr>
            <a:ln w="28440">
              <a:solidFill>
                <a:srgbClr val="46AAC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Schedule'!$AA$82</c:f>
              <c:numCache>
                <c:formatCode>0.0%</c:formatCode>
                <c:ptCount val="1"/>
                <c:pt idx="0">
                  <c:v>0.44487480688516978</c:v>
                </c:pt>
              </c:numCache>
            </c:numRef>
          </c:val>
          <c:smooth val="1"/>
          <c:extLst>
            <c:ext xmlns:c16="http://schemas.microsoft.com/office/drawing/2014/chart" uri="{C3380CC4-5D6E-409C-BE32-E72D297353CC}">
              <c16:uniqueId val="{00000010-305E-4184-9394-225657D37384}"/>
            </c:ext>
          </c:extLst>
        </c:ser>
        <c:ser>
          <c:idx val="17"/>
          <c:order val="17"/>
          <c:spPr>
            <a:ln w="28440">
              <a:solidFill>
                <a:srgbClr val="F5924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Schedule'!$AB$82</c:f>
              <c:numCache>
                <c:formatCode>0.0%</c:formatCode>
                <c:ptCount val="1"/>
                <c:pt idx="0">
                  <c:v>0.50585863074747961</c:v>
                </c:pt>
              </c:numCache>
            </c:numRef>
          </c:val>
          <c:smooth val="1"/>
          <c:extLst>
            <c:ext xmlns:c16="http://schemas.microsoft.com/office/drawing/2014/chart" uri="{C3380CC4-5D6E-409C-BE32-E72D297353CC}">
              <c16:uniqueId val="{00000011-305E-4184-9394-225657D37384}"/>
            </c:ext>
          </c:extLst>
        </c:ser>
        <c:ser>
          <c:idx val="18"/>
          <c:order val="18"/>
          <c:spPr>
            <a:ln w="28440">
              <a:solidFill>
                <a:srgbClr val="8EA5C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Schedule'!$AC$82</c:f>
              <c:numCache>
                <c:formatCode>0.0%</c:formatCode>
                <c:ptCount val="1"/>
                <c:pt idx="0">
                  <c:v>0.5783991012987052</c:v>
                </c:pt>
              </c:numCache>
            </c:numRef>
          </c:val>
          <c:smooth val="1"/>
          <c:extLst>
            <c:ext xmlns:c16="http://schemas.microsoft.com/office/drawing/2014/chart" uri="{C3380CC4-5D6E-409C-BE32-E72D297353CC}">
              <c16:uniqueId val="{00000012-305E-4184-9394-225657D37384}"/>
            </c:ext>
          </c:extLst>
        </c:ser>
        <c:ser>
          <c:idx val="19"/>
          <c:order val="19"/>
          <c:spPr>
            <a:ln w="28440">
              <a:solidFill>
                <a:srgbClr val="CC8F8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Schedule'!$AD$82</c:f>
              <c:numCache>
                <c:formatCode>0.0%</c:formatCode>
                <c:ptCount val="1"/>
                <c:pt idx="0">
                  <c:v>0.63792845585441715</c:v>
                </c:pt>
              </c:numCache>
            </c:numRef>
          </c:val>
          <c:smooth val="1"/>
          <c:extLst>
            <c:ext xmlns:c16="http://schemas.microsoft.com/office/drawing/2014/chart" uri="{C3380CC4-5D6E-409C-BE32-E72D297353CC}">
              <c16:uniqueId val="{00000013-305E-4184-9394-225657D37384}"/>
            </c:ext>
          </c:extLst>
        </c:ser>
        <c:ser>
          <c:idx val="20"/>
          <c:order val="20"/>
          <c:spPr>
            <a:ln w="28440">
              <a:solidFill>
                <a:srgbClr val="B3C99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Schedule'!$AE$82</c:f>
              <c:numCache>
                <c:formatCode>0.0%</c:formatCode>
                <c:ptCount val="1"/>
                <c:pt idx="0">
                  <c:v>0.70051735512122248</c:v>
                </c:pt>
              </c:numCache>
            </c:numRef>
          </c:val>
          <c:smooth val="1"/>
          <c:extLst>
            <c:ext xmlns:c16="http://schemas.microsoft.com/office/drawing/2014/chart" uri="{C3380CC4-5D6E-409C-BE32-E72D297353CC}">
              <c16:uniqueId val="{00000014-305E-4184-9394-225657D37384}"/>
            </c:ext>
          </c:extLst>
        </c:ser>
        <c:ser>
          <c:idx val="21"/>
          <c:order val="21"/>
          <c:spPr>
            <a:ln w="28440">
              <a:solidFill>
                <a:srgbClr val="A596B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Schedule'!$AF$82</c:f>
              <c:numCache>
                <c:formatCode>0.0%</c:formatCode>
                <c:ptCount val="1"/>
                <c:pt idx="0">
                  <c:v>0.77289938310162787</c:v>
                </c:pt>
              </c:numCache>
            </c:numRef>
          </c:val>
          <c:smooth val="1"/>
          <c:extLst>
            <c:ext xmlns:c16="http://schemas.microsoft.com/office/drawing/2014/chart" uri="{C3380CC4-5D6E-409C-BE32-E72D297353CC}">
              <c16:uniqueId val="{00000015-305E-4184-9394-225657D37384}"/>
            </c:ext>
          </c:extLst>
        </c:ser>
        <c:ser>
          <c:idx val="22"/>
          <c:order val="22"/>
          <c:spPr>
            <a:ln w="28440">
              <a:solidFill>
                <a:srgbClr val="8CBF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Schedule'!$AG$82</c:f>
              <c:numCache>
                <c:formatCode>0.0%</c:formatCode>
                <c:ptCount val="1"/>
                <c:pt idx="0">
                  <c:v>0.84988959627953153</c:v>
                </c:pt>
              </c:numCache>
            </c:numRef>
          </c:val>
          <c:smooth val="1"/>
          <c:extLst>
            <c:ext xmlns:c16="http://schemas.microsoft.com/office/drawing/2014/chart" uri="{C3380CC4-5D6E-409C-BE32-E72D297353CC}">
              <c16:uniqueId val="{00000016-305E-4184-9394-225657D37384}"/>
            </c:ext>
          </c:extLst>
        </c:ser>
        <c:ser>
          <c:idx val="23"/>
          <c:order val="23"/>
          <c:spPr>
            <a:ln w="28440">
              <a:solidFill>
                <a:srgbClr val="F5B08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Schedule'!$AH$82</c:f>
              <c:numCache>
                <c:formatCode>0.0%</c:formatCode>
                <c:ptCount val="1"/>
                <c:pt idx="0">
                  <c:v>0.92159606240227754</c:v>
                </c:pt>
              </c:numCache>
            </c:numRef>
          </c:val>
          <c:smooth val="1"/>
          <c:extLst>
            <c:ext xmlns:c16="http://schemas.microsoft.com/office/drawing/2014/chart" uri="{C3380CC4-5D6E-409C-BE32-E72D297353CC}">
              <c16:uniqueId val="{00000017-305E-4184-9394-225657D37384}"/>
            </c:ext>
          </c:extLst>
        </c:ser>
        <c:ser>
          <c:idx val="24"/>
          <c:order val="24"/>
          <c:spPr>
            <a:ln w="28440">
              <a:solidFill>
                <a:srgbClr val="B7C3D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Schedule'!$AI$82</c:f>
              <c:numCache>
                <c:formatCode>0.0%</c:formatCode>
                <c:ptCount val="1"/>
                <c:pt idx="0">
                  <c:v>0.97171778512656914</c:v>
                </c:pt>
              </c:numCache>
            </c:numRef>
          </c:val>
          <c:smooth val="1"/>
          <c:extLst>
            <c:ext xmlns:c16="http://schemas.microsoft.com/office/drawing/2014/chart" uri="{C3380CC4-5D6E-409C-BE32-E72D297353CC}">
              <c16:uniqueId val="{00000018-305E-4184-9394-225657D37384}"/>
            </c:ext>
          </c:extLst>
        </c:ser>
        <c:ser>
          <c:idx val="25"/>
          <c:order val="25"/>
          <c:spPr>
            <a:ln w="28440">
              <a:solidFill>
                <a:srgbClr val="DCB7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'26-Month Schedule'!$K$5:$AJ$5</c:f>
              <c:strCache>
                <c:ptCount val="26"/>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pt idx="18">
                  <c:v>M19</c:v>
                </c:pt>
                <c:pt idx="19">
                  <c:v>M20</c:v>
                </c:pt>
                <c:pt idx="20">
                  <c:v>M21</c:v>
                </c:pt>
                <c:pt idx="21">
                  <c:v>M22</c:v>
                </c:pt>
                <c:pt idx="22">
                  <c:v>M23</c:v>
                </c:pt>
                <c:pt idx="23">
                  <c:v>M24</c:v>
                </c:pt>
                <c:pt idx="24">
                  <c:v>M25</c:v>
                </c:pt>
                <c:pt idx="25">
                  <c:v>M26</c:v>
                </c:pt>
              </c:strCache>
            </c:strRef>
          </c:cat>
          <c:val>
            <c:numRef>
              <c:f>'26-Month Schedule'!$AJ$82</c:f>
              <c:numCache>
                <c:formatCode>0.0%</c:formatCode>
                <c:ptCount val="1"/>
                <c:pt idx="0">
                  <c:v>1</c:v>
                </c:pt>
              </c:numCache>
            </c:numRef>
          </c:val>
          <c:smooth val="1"/>
          <c:extLst>
            <c:ext xmlns:c16="http://schemas.microsoft.com/office/drawing/2014/chart" uri="{C3380CC4-5D6E-409C-BE32-E72D297353CC}">
              <c16:uniqueId val="{00000019-305E-4184-9394-225657D37384}"/>
            </c:ext>
          </c:extLst>
        </c:ser>
        <c:dLbls>
          <c:showLegendKey val="0"/>
          <c:showVal val="0"/>
          <c:showCatName val="0"/>
          <c:showSerName val="0"/>
          <c:showPercent val="0"/>
          <c:showBubbleSize val="0"/>
        </c:dLbls>
        <c:hiLowLines>
          <c:spPr>
            <a:ln w="0">
              <a:noFill/>
            </a:ln>
          </c:spPr>
        </c:hiLowLines>
        <c:smooth val="0"/>
        <c:axId val="57258018"/>
        <c:axId val="18640176"/>
      </c:lineChart>
      <c:catAx>
        <c:axId val="572580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640176"/>
        <c:crosses val="autoZero"/>
        <c:auto val="1"/>
        <c:lblAlgn val="ctr"/>
        <c:lblOffset val="100"/>
        <c:noMultiLvlLbl val="0"/>
      </c:catAx>
      <c:valAx>
        <c:axId val="1864017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2580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176040</xdr:rowOff>
    </xdr:from>
    <xdr:to>
      <xdr:col>8</xdr:col>
      <xdr:colOff>730080</xdr:colOff>
      <xdr:row>41</xdr:row>
      <xdr:rowOff>177120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24</xdr:row>
      <xdr:rowOff>176040</xdr:rowOff>
    </xdr:from>
    <xdr:to>
      <xdr:col>11</xdr:col>
      <xdr:colOff>936360</xdr:colOff>
      <xdr:row>41</xdr:row>
      <xdr:rowOff>177120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xdr:col>
      <xdr:colOff>776880</xdr:colOff>
      <xdr:row>0</xdr:row>
      <xdr:rowOff>216000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0" y="0"/>
          <a:ext cx="1904760" cy="216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1199880</xdr:colOff>
      <xdr:row>0</xdr:row>
      <xdr:rowOff>216000</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a:xfrm>
          <a:off x="0" y="0"/>
          <a:ext cx="1904760" cy="2160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52</xdr:row>
      <xdr:rowOff>138960</xdr:rowOff>
    </xdr:from>
    <xdr:to>
      <xdr:col>10</xdr:col>
      <xdr:colOff>594360</xdr:colOff>
      <xdr:row>60</xdr:row>
      <xdr:rowOff>214560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61</xdr:row>
      <xdr:rowOff>291600</xdr:rowOff>
    </xdr:from>
    <xdr:to>
      <xdr:col>10</xdr:col>
      <xdr:colOff>594360</xdr:colOff>
      <xdr:row>69</xdr:row>
      <xdr:rowOff>538920</xdr:rowOff>
    </xdr:to>
    <xdr:graphicFrame macro="">
      <xdr:nvGraphicFramePr>
        <xdr:cNvPr id="5" name="Chart 2">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xdr:col>
      <xdr:colOff>1199880</xdr:colOff>
      <xdr:row>0</xdr:row>
      <xdr:rowOff>216000</xdr:rowOff>
    </xdr:to>
    <xdr:pic>
      <xdr:nvPicPr>
        <xdr:cNvPr id="6" name="Image 3"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3"/>
        <a:stretch/>
      </xdr:blipFill>
      <xdr:spPr>
        <a:xfrm>
          <a:off x="0" y="0"/>
          <a:ext cx="1904760" cy="216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1904760</xdr:colOff>
      <xdr:row>0</xdr:row>
      <xdr:rowOff>216000</xdr:rowOff>
    </xdr:to>
    <xdr:pic>
      <xdr:nvPicPr>
        <xdr:cNvPr id="7" name="Image 1"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1"/>
        <a:stretch/>
      </xdr:blipFill>
      <xdr:spPr>
        <a:xfrm>
          <a:off x="0" y="0"/>
          <a:ext cx="1904760" cy="2160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showGridLines="0" zoomScaleNormal="100" workbookViewId="0"/>
  </sheetViews>
  <sheetFormatPr defaultColWidth="8.6328125" defaultRowHeight="14.5"/>
  <cols>
    <col min="1" max="1" width="16" customWidth="1"/>
    <col min="2" max="2" width="14" customWidth="1"/>
    <col min="3" max="11" width="12" customWidth="1"/>
    <col min="12" max="12" width="14" customWidth="1"/>
  </cols>
  <sheetData>
    <row r="1" spans="1:12" ht="27.75" customHeight="1">
      <c r="A1" s="9"/>
      <c r="B1" s="9"/>
      <c r="C1" s="9"/>
      <c r="D1" s="9"/>
      <c r="E1" s="9"/>
      <c r="F1" s="8" t="s">
        <v>0</v>
      </c>
      <c r="G1" s="8"/>
      <c r="H1" s="8"/>
      <c r="I1" s="8"/>
      <c r="J1" s="8"/>
      <c r="K1" s="8"/>
      <c r="L1" s="8"/>
    </row>
    <row r="2" spans="1:12" ht="9.75" customHeight="1">
      <c r="A2" s="9"/>
      <c r="B2" s="9"/>
      <c r="C2" s="9"/>
      <c r="D2" s="9"/>
      <c r="E2" s="9"/>
      <c r="F2" s="8"/>
      <c r="G2" s="8"/>
      <c r="H2" s="8"/>
      <c r="I2" s="8"/>
      <c r="J2" s="8"/>
      <c r="K2" s="8"/>
      <c r="L2" s="8"/>
    </row>
    <row r="3" spans="1:12" ht="6" customHeight="1">
      <c r="A3" s="7"/>
      <c r="B3" s="7"/>
      <c r="C3" s="7"/>
      <c r="D3" s="7"/>
      <c r="E3" s="7"/>
      <c r="F3" s="7"/>
      <c r="G3" s="7"/>
      <c r="H3" s="7"/>
      <c r="I3" s="7"/>
      <c r="J3" s="7"/>
      <c r="K3" s="7"/>
      <c r="L3" s="7"/>
    </row>
    <row r="4" spans="1:12">
      <c r="A4" s="6" t="s">
        <v>1</v>
      </c>
      <c r="B4" s="6"/>
      <c r="C4" s="6"/>
      <c r="D4" s="6"/>
      <c r="E4" s="6"/>
      <c r="F4" s="6"/>
      <c r="G4" s="6"/>
      <c r="H4" s="6"/>
      <c r="I4" s="6"/>
      <c r="J4" s="6"/>
      <c r="K4" s="6"/>
      <c r="L4" s="6"/>
    </row>
    <row r="5" spans="1:12">
      <c r="A5" s="5" t="s">
        <v>2</v>
      </c>
      <c r="B5" s="5"/>
      <c r="C5" s="5"/>
      <c r="D5" s="5" t="s">
        <v>3</v>
      </c>
      <c r="E5" s="5"/>
      <c r="F5" s="5"/>
      <c r="G5" s="5" t="s">
        <v>4</v>
      </c>
      <c r="H5" s="5"/>
      <c r="I5" s="5"/>
      <c r="J5" s="5" t="s">
        <v>5</v>
      </c>
      <c r="K5" s="5"/>
      <c r="L5" s="5"/>
    </row>
    <row r="6" spans="1:12" ht="25.5" customHeight="1">
      <c r="A6" s="4">
        <v>99999000</v>
      </c>
      <c r="B6" s="4"/>
      <c r="C6" s="4"/>
      <c r="D6" s="4">
        <v>14999850</v>
      </c>
      <c r="E6" s="4"/>
      <c r="F6" s="4"/>
      <c r="G6" s="4">
        <v>114998850</v>
      </c>
      <c r="H6" s="4"/>
      <c r="I6" s="4"/>
      <c r="J6" s="3">
        <v>26</v>
      </c>
      <c r="K6" s="3"/>
      <c r="L6" s="3"/>
    </row>
    <row r="8" spans="1:12">
      <c r="A8" s="2" t="s">
        <v>6</v>
      </c>
      <c r="B8" s="2"/>
      <c r="C8" s="2"/>
      <c r="D8" s="2"/>
      <c r="E8" s="2"/>
      <c r="F8" s="2"/>
      <c r="G8" s="2" t="s">
        <v>7</v>
      </c>
      <c r="H8" s="2"/>
      <c r="I8" s="2"/>
      <c r="J8" s="2"/>
      <c r="K8" s="2"/>
      <c r="L8" s="2"/>
    </row>
    <row r="9" spans="1:12" ht="16.5">
      <c r="A9" s="1">
        <v>65009000</v>
      </c>
      <c r="B9" s="1"/>
      <c r="C9" s="1"/>
      <c r="D9" s="1"/>
      <c r="E9" s="1"/>
      <c r="F9" s="1"/>
      <c r="G9" s="1">
        <v>34990000</v>
      </c>
      <c r="H9" s="1"/>
      <c r="I9" s="1"/>
      <c r="J9" s="1"/>
      <c r="K9" s="1"/>
      <c r="L9" s="1"/>
    </row>
    <row r="12" spans="1:12">
      <c r="A12" s="11" t="s">
        <v>8</v>
      </c>
      <c r="B12" s="11" t="s">
        <v>9</v>
      </c>
    </row>
    <row r="13" spans="1:12">
      <c r="A13" s="12" t="s">
        <v>10</v>
      </c>
      <c r="B13" s="13">
        <v>4900000</v>
      </c>
    </row>
    <row r="14" spans="1:12">
      <c r="A14" s="12" t="s">
        <v>11</v>
      </c>
      <c r="B14" s="13">
        <v>4889000</v>
      </c>
    </row>
    <row r="15" spans="1:12">
      <c r="A15" s="12" t="s">
        <v>12</v>
      </c>
      <c r="B15" s="13">
        <v>4550000</v>
      </c>
    </row>
    <row r="16" spans="1:12">
      <c r="A16" s="12" t="s">
        <v>13</v>
      </c>
      <c r="B16" s="13">
        <v>8501000</v>
      </c>
    </row>
    <row r="17" spans="1:2">
      <c r="A17" s="12" t="s">
        <v>14</v>
      </c>
      <c r="B17" s="13">
        <v>12170000</v>
      </c>
    </row>
    <row r="18" spans="1:2">
      <c r="A18" s="12" t="s">
        <v>15</v>
      </c>
      <c r="B18" s="13">
        <v>34090000</v>
      </c>
    </row>
    <row r="19" spans="1:2">
      <c r="A19" s="12" t="s">
        <v>16</v>
      </c>
      <c r="B19" s="13">
        <v>30899000</v>
      </c>
    </row>
    <row r="21" spans="1:2">
      <c r="A21" s="11" t="s">
        <v>17</v>
      </c>
      <c r="B21" s="11" t="s">
        <v>9</v>
      </c>
    </row>
    <row r="22" spans="1:2">
      <c r="A22" t="s">
        <v>18</v>
      </c>
      <c r="B22" s="14">
        <v>65009000</v>
      </c>
    </row>
    <row r="23" spans="1:2">
      <c r="A23" t="s">
        <v>19</v>
      </c>
      <c r="B23" s="14">
        <v>34990000</v>
      </c>
    </row>
  </sheetData>
  <mergeCells count="15">
    <mergeCell ref="A9:F9"/>
    <mergeCell ref="G9:L9"/>
    <mergeCell ref="A6:C6"/>
    <mergeCell ref="D6:F6"/>
    <mergeCell ref="G6:I6"/>
    <mergeCell ref="J6:L6"/>
    <mergeCell ref="A8:F8"/>
    <mergeCell ref="G8:L8"/>
    <mergeCell ref="F1:L2"/>
    <mergeCell ref="A3:L3"/>
    <mergeCell ref="A4:L4"/>
    <mergeCell ref="A5:C5"/>
    <mergeCell ref="D5:F5"/>
    <mergeCell ref="G5:I5"/>
    <mergeCell ref="J5:L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7"/>
  <sheetViews>
    <sheetView showGridLines="0" tabSelected="1"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cols>
    <col min="1" max="1" width="10" customWidth="1"/>
    <col min="2" max="2" width="54" customWidth="1"/>
    <col min="3" max="3" width="12" customWidth="1"/>
    <col min="4" max="5" width="10" customWidth="1"/>
    <col min="6" max="6" width="8" customWidth="1"/>
    <col min="7" max="7" width="13" customWidth="1"/>
    <col min="8" max="8" width="15" customWidth="1"/>
    <col min="9" max="9" width="11" customWidth="1"/>
    <col min="10" max="10" width="13" customWidth="1"/>
    <col min="11" max="11" width="10" customWidth="1"/>
    <col min="12" max="12" width="46" customWidth="1"/>
    <col min="13" max="13" width="14" customWidth="1"/>
  </cols>
  <sheetData>
    <row r="1" spans="1:13" ht="27.75" customHeight="1">
      <c r="A1" s="9"/>
      <c r="B1" s="9"/>
      <c r="C1" s="9"/>
      <c r="D1" s="9"/>
      <c r="E1" s="9"/>
      <c r="F1" s="8" t="s">
        <v>20</v>
      </c>
      <c r="G1" s="8"/>
      <c r="H1" s="8"/>
      <c r="I1" s="8"/>
      <c r="J1" s="8"/>
      <c r="K1" s="8"/>
      <c r="L1" s="8"/>
      <c r="M1" s="8"/>
    </row>
    <row r="2" spans="1:13" ht="9.75" customHeight="1">
      <c r="A2" s="9"/>
      <c r="B2" s="9"/>
      <c r="C2" s="9"/>
      <c r="D2" s="9"/>
      <c r="E2" s="9"/>
      <c r="F2" s="8"/>
      <c r="G2" s="8"/>
      <c r="H2" s="8"/>
      <c r="I2" s="8"/>
      <c r="J2" s="8"/>
      <c r="K2" s="8"/>
      <c r="L2" s="8"/>
      <c r="M2" s="8"/>
    </row>
    <row r="3" spans="1:13" ht="6" customHeight="1">
      <c r="A3" s="7"/>
      <c r="B3" s="7"/>
      <c r="C3" s="7"/>
      <c r="D3" s="7"/>
      <c r="E3" s="7"/>
      <c r="F3" s="7"/>
      <c r="G3" s="7"/>
      <c r="H3" s="7"/>
      <c r="I3" s="7"/>
      <c r="J3" s="7"/>
      <c r="K3" s="7"/>
      <c r="L3" s="7"/>
      <c r="M3" s="7"/>
    </row>
    <row r="4" spans="1:13">
      <c r="A4" s="6" t="s">
        <v>21</v>
      </c>
      <c r="B4" s="6"/>
      <c r="C4" s="6"/>
      <c r="D4" s="6"/>
      <c r="E4" s="6"/>
      <c r="F4" s="6"/>
      <c r="G4" s="6"/>
      <c r="H4" s="6"/>
      <c r="I4" s="6"/>
      <c r="J4" s="6"/>
      <c r="K4" s="6"/>
      <c r="L4" s="6"/>
      <c r="M4" s="6"/>
    </row>
    <row r="5" spans="1:13" ht="27.75" customHeight="1">
      <c r="A5" s="15" t="s">
        <v>22</v>
      </c>
      <c r="B5" s="15" t="s">
        <v>23</v>
      </c>
      <c r="C5" s="15" t="s">
        <v>24</v>
      </c>
      <c r="D5" s="15" t="s">
        <v>17</v>
      </c>
      <c r="E5" s="15" t="s">
        <v>25</v>
      </c>
      <c r="F5" s="15" t="s">
        <v>26</v>
      </c>
      <c r="G5" s="15" t="s">
        <v>27</v>
      </c>
      <c r="H5" s="15" t="s">
        <v>9</v>
      </c>
      <c r="I5" s="15" t="s">
        <v>28</v>
      </c>
      <c r="J5" s="15" t="s">
        <v>29</v>
      </c>
      <c r="K5" s="15" t="s">
        <v>30</v>
      </c>
      <c r="L5" s="15" t="s">
        <v>31</v>
      </c>
      <c r="M5" s="15" t="s">
        <v>32</v>
      </c>
    </row>
    <row r="6" spans="1:13">
      <c r="A6" s="16" t="s">
        <v>33</v>
      </c>
      <c r="B6" s="16" t="s">
        <v>34</v>
      </c>
      <c r="C6" s="16"/>
      <c r="D6" s="16"/>
      <c r="E6" s="16"/>
      <c r="F6" s="16"/>
      <c r="G6" s="16"/>
      <c r="H6" s="17">
        <f>SUM(H7:H9)</f>
        <v>4900000</v>
      </c>
      <c r="I6" s="18">
        <f t="shared" ref="I6:I37" si="0">H6/$H$87</f>
        <v>4.9000490004900046E-2</v>
      </c>
      <c r="J6" s="18">
        <f>I6</f>
        <v>4.9000490004900046E-2</v>
      </c>
      <c r="K6" s="16"/>
      <c r="L6" s="16"/>
      <c r="M6" s="16"/>
    </row>
    <row r="7" spans="1:13" ht="25">
      <c r="A7" s="19" t="s">
        <v>35</v>
      </c>
      <c r="B7" s="20" t="s">
        <v>36</v>
      </c>
      <c r="C7" s="19" t="s">
        <v>35</v>
      </c>
      <c r="D7" s="19" t="s">
        <v>18</v>
      </c>
      <c r="E7" s="19" t="s">
        <v>37</v>
      </c>
      <c r="F7" s="19" t="s">
        <v>38</v>
      </c>
      <c r="G7" s="21"/>
      <c r="H7" s="21">
        <v>4900000</v>
      </c>
      <c r="I7" s="22">
        <f t="shared" si="0"/>
        <v>4.9000490004900046E-2</v>
      </c>
      <c r="J7" s="22">
        <f>I7</f>
        <v>4.9000490004900046E-2</v>
      </c>
      <c r="K7" s="19" t="s">
        <v>39</v>
      </c>
      <c r="L7" s="20" t="s">
        <v>40</v>
      </c>
      <c r="M7" s="23" t="s">
        <v>41</v>
      </c>
    </row>
    <row r="8" spans="1:13" ht="25">
      <c r="A8" s="19" t="s">
        <v>42</v>
      </c>
      <c r="B8" s="20" t="s">
        <v>43</v>
      </c>
      <c r="C8" s="19" t="s">
        <v>35</v>
      </c>
      <c r="D8" s="19" t="s">
        <v>18</v>
      </c>
      <c r="E8" s="19" t="s">
        <v>37</v>
      </c>
      <c r="F8" s="19" t="s">
        <v>38</v>
      </c>
      <c r="G8" s="21"/>
      <c r="H8" s="21">
        <v>0</v>
      </c>
      <c r="I8" s="22">
        <f t="shared" si="0"/>
        <v>0</v>
      </c>
      <c r="J8" s="22">
        <f>I8</f>
        <v>0</v>
      </c>
      <c r="K8" s="19" t="s">
        <v>39</v>
      </c>
      <c r="L8" s="20" t="s">
        <v>40</v>
      </c>
      <c r="M8" s="23" t="s">
        <v>41</v>
      </c>
    </row>
    <row r="9" spans="1:13" ht="25">
      <c r="A9" s="19" t="s">
        <v>44</v>
      </c>
      <c r="B9" s="20" t="s">
        <v>45</v>
      </c>
      <c r="C9" s="19" t="s">
        <v>35</v>
      </c>
      <c r="D9" s="19" t="s">
        <v>18</v>
      </c>
      <c r="E9" s="19" t="s">
        <v>37</v>
      </c>
      <c r="F9" s="19" t="s">
        <v>38</v>
      </c>
      <c r="G9" s="21"/>
      <c r="H9" s="21">
        <v>0</v>
      </c>
      <c r="I9" s="22">
        <f t="shared" si="0"/>
        <v>0</v>
      </c>
      <c r="J9" s="22">
        <f>I9</f>
        <v>0</v>
      </c>
      <c r="K9" s="19" t="s">
        <v>39</v>
      </c>
      <c r="L9" s="20" t="s">
        <v>46</v>
      </c>
      <c r="M9" s="23" t="s">
        <v>41</v>
      </c>
    </row>
    <row r="10" spans="1:13">
      <c r="A10" s="16" t="s">
        <v>47</v>
      </c>
      <c r="B10" s="16" t="s">
        <v>48</v>
      </c>
      <c r="C10" s="16"/>
      <c r="D10" s="16"/>
      <c r="E10" s="16"/>
      <c r="F10" s="16"/>
      <c r="G10" s="16"/>
      <c r="H10" s="17">
        <f>SUM(H11:H16)</f>
        <v>4888999.9999999944</v>
      </c>
      <c r="I10" s="18">
        <f t="shared" si="0"/>
        <v>4.8890488904888993E-2</v>
      </c>
      <c r="J10" s="18">
        <f>J6+I10</f>
        <v>9.7890978909789039E-2</v>
      </c>
      <c r="K10" s="16"/>
      <c r="L10" s="16"/>
      <c r="M10" s="16"/>
    </row>
    <row r="11" spans="1:13" ht="25">
      <c r="A11" s="19" t="s">
        <v>49</v>
      </c>
      <c r="B11" s="20" t="s">
        <v>50</v>
      </c>
      <c r="C11" s="19" t="s">
        <v>49</v>
      </c>
      <c r="D11" s="19" t="s">
        <v>18</v>
      </c>
      <c r="E11" s="19" t="s">
        <v>37</v>
      </c>
      <c r="F11" s="19" t="s">
        <v>38</v>
      </c>
      <c r="G11" s="21"/>
      <c r="H11" s="21">
        <v>279371.42857142899</v>
      </c>
      <c r="I11" s="22">
        <f t="shared" si="0"/>
        <v>2.7937422231365211E-3</v>
      </c>
      <c r="J11" s="22">
        <f t="shared" ref="J11:J16" si="1">I11</f>
        <v>2.7937422231365211E-3</v>
      </c>
      <c r="K11" s="19" t="s">
        <v>39</v>
      </c>
      <c r="L11" s="20" t="s">
        <v>51</v>
      </c>
      <c r="M11" s="24" t="s">
        <v>52</v>
      </c>
    </row>
    <row r="12" spans="1:13">
      <c r="A12" s="19" t="s">
        <v>53</v>
      </c>
      <c r="B12" s="20" t="s">
        <v>54</v>
      </c>
      <c r="C12" s="19" t="s">
        <v>49</v>
      </c>
      <c r="D12" s="19" t="s">
        <v>18</v>
      </c>
      <c r="E12" s="19" t="s">
        <v>37</v>
      </c>
      <c r="F12" s="19" t="s">
        <v>38</v>
      </c>
      <c r="G12" s="21"/>
      <c r="H12" s="21">
        <v>419057.14285714302</v>
      </c>
      <c r="I12" s="22">
        <f t="shared" si="0"/>
        <v>4.1906133347047771E-3</v>
      </c>
      <c r="J12" s="22">
        <f t="shared" si="1"/>
        <v>4.1906133347047771E-3</v>
      </c>
      <c r="K12" s="19" t="s">
        <v>39</v>
      </c>
      <c r="L12" s="20" t="s">
        <v>55</v>
      </c>
      <c r="M12" s="24" t="s">
        <v>52</v>
      </c>
    </row>
    <row r="13" spans="1:13">
      <c r="A13" s="19" t="s">
        <v>56</v>
      </c>
      <c r="B13" s="20" t="s">
        <v>57</v>
      </c>
      <c r="C13" s="19" t="s">
        <v>49</v>
      </c>
      <c r="D13" s="19" t="s">
        <v>18</v>
      </c>
      <c r="E13" s="19" t="s">
        <v>37</v>
      </c>
      <c r="F13" s="19" t="s">
        <v>38</v>
      </c>
      <c r="G13" s="21"/>
      <c r="H13" s="21">
        <v>558742.85714285704</v>
      </c>
      <c r="I13" s="22">
        <f t="shared" si="0"/>
        <v>5.5874844462730335E-3</v>
      </c>
      <c r="J13" s="22">
        <f t="shared" si="1"/>
        <v>5.5874844462730335E-3</v>
      </c>
      <c r="K13" s="19" t="s">
        <v>39</v>
      </c>
      <c r="L13" s="20" t="s">
        <v>58</v>
      </c>
      <c r="M13" s="24" t="s">
        <v>52</v>
      </c>
    </row>
    <row r="14" spans="1:13">
      <c r="A14" s="19" t="s">
        <v>59</v>
      </c>
      <c r="B14" s="20" t="s">
        <v>60</v>
      </c>
      <c r="C14" s="19" t="s">
        <v>49</v>
      </c>
      <c r="D14" s="19" t="s">
        <v>18</v>
      </c>
      <c r="E14" s="19" t="s">
        <v>37</v>
      </c>
      <c r="F14" s="19" t="s">
        <v>38</v>
      </c>
      <c r="G14" s="21"/>
      <c r="H14" s="21">
        <v>838114.28571428603</v>
      </c>
      <c r="I14" s="22">
        <f t="shared" si="0"/>
        <v>8.3812266694095541E-3</v>
      </c>
      <c r="J14" s="22">
        <f t="shared" si="1"/>
        <v>8.3812266694095541E-3</v>
      </c>
      <c r="K14" s="19" t="s">
        <v>39</v>
      </c>
      <c r="L14" s="20" t="s">
        <v>61</v>
      </c>
      <c r="M14" s="24" t="s">
        <v>52</v>
      </c>
    </row>
    <row r="15" spans="1:13">
      <c r="A15" s="19" t="s">
        <v>62</v>
      </c>
      <c r="B15" s="20" t="s">
        <v>63</v>
      </c>
      <c r="C15" s="19" t="s">
        <v>49</v>
      </c>
      <c r="D15" s="19" t="s">
        <v>18</v>
      </c>
      <c r="E15" s="19" t="s">
        <v>37</v>
      </c>
      <c r="F15" s="19" t="s">
        <v>38</v>
      </c>
      <c r="G15" s="21"/>
      <c r="H15" s="21">
        <v>1117485.7142857099</v>
      </c>
      <c r="I15" s="22">
        <f t="shared" si="0"/>
        <v>1.1174968892546024E-2</v>
      </c>
      <c r="J15" s="22">
        <f t="shared" si="1"/>
        <v>1.1174968892546024E-2</v>
      </c>
      <c r="K15" s="19" t="s">
        <v>39</v>
      </c>
      <c r="L15" s="20" t="s">
        <v>64</v>
      </c>
      <c r="M15" s="24" t="s">
        <v>52</v>
      </c>
    </row>
    <row r="16" spans="1:13">
      <c r="A16" s="19" t="s">
        <v>65</v>
      </c>
      <c r="B16" s="20" t="s">
        <v>66</v>
      </c>
      <c r="C16" s="19" t="s">
        <v>49</v>
      </c>
      <c r="D16" s="19" t="s">
        <v>18</v>
      </c>
      <c r="E16" s="19" t="s">
        <v>37</v>
      </c>
      <c r="F16" s="19" t="s">
        <v>38</v>
      </c>
      <c r="G16" s="21"/>
      <c r="H16" s="21">
        <v>1676228.57142857</v>
      </c>
      <c r="I16" s="22">
        <f t="shared" si="0"/>
        <v>1.6762453338819087E-2</v>
      </c>
      <c r="J16" s="22">
        <f t="shared" si="1"/>
        <v>1.6762453338819087E-2</v>
      </c>
      <c r="K16" s="19" t="s">
        <v>39</v>
      </c>
      <c r="L16" s="20" t="s">
        <v>67</v>
      </c>
      <c r="M16" s="24" t="s">
        <v>52</v>
      </c>
    </row>
    <row r="17" spans="1:13">
      <c r="A17" s="16" t="s">
        <v>68</v>
      </c>
      <c r="B17" s="16" t="s">
        <v>69</v>
      </c>
      <c r="C17" s="16"/>
      <c r="D17" s="16"/>
      <c r="E17" s="16"/>
      <c r="F17" s="16"/>
      <c r="G17" s="16"/>
      <c r="H17" s="17">
        <f>SUM(H18:H29)</f>
        <v>4550000</v>
      </c>
      <c r="I17" s="18">
        <f t="shared" si="0"/>
        <v>4.5500455004550043E-2</v>
      </c>
      <c r="J17" s="18">
        <f>J10+I17</f>
        <v>0.14339143391433909</v>
      </c>
      <c r="K17" s="16"/>
      <c r="L17" s="16"/>
      <c r="M17" s="16"/>
    </row>
    <row r="18" spans="1:13" ht="25">
      <c r="A18" s="19" t="s">
        <v>70</v>
      </c>
      <c r="B18" s="20" t="s">
        <v>71</v>
      </c>
      <c r="C18" s="19" t="s">
        <v>72</v>
      </c>
      <c r="D18" s="19" t="s">
        <v>18</v>
      </c>
      <c r="E18" s="19" t="s">
        <v>37</v>
      </c>
      <c r="F18" s="19" t="s">
        <v>38</v>
      </c>
      <c r="G18" s="21"/>
      <c r="H18" s="21">
        <v>22500</v>
      </c>
      <c r="I18" s="22">
        <f t="shared" si="0"/>
        <v>2.2500225002250023E-4</v>
      </c>
      <c r="J18" s="22">
        <f t="shared" ref="J18:J29" si="2">I18</f>
        <v>2.2500225002250023E-4</v>
      </c>
      <c r="K18" s="19" t="s">
        <v>39</v>
      </c>
      <c r="L18" s="20" t="s">
        <v>73</v>
      </c>
      <c r="M18" s="25" t="s">
        <v>74</v>
      </c>
    </row>
    <row r="19" spans="1:13" ht="25">
      <c r="A19" s="19" t="s">
        <v>75</v>
      </c>
      <c r="B19" s="20" t="s">
        <v>76</v>
      </c>
      <c r="C19" s="19" t="s">
        <v>72</v>
      </c>
      <c r="D19" s="19" t="s">
        <v>18</v>
      </c>
      <c r="E19" s="19" t="s">
        <v>37</v>
      </c>
      <c r="F19" s="19" t="s">
        <v>38</v>
      </c>
      <c r="G19" s="21"/>
      <c r="H19" s="21">
        <v>67500</v>
      </c>
      <c r="I19" s="22">
        <f t="shared" si="0"/>
        <v>6.7500675006750064E-4</v>
      </c>
      <c r="J19" s="22">
        <f t="shared" si="2"/>
        <v>6.7500675006750064E-4</v>
      </c>
      <c r="K19" s="19" t="s">
        <v>39</v>
      </c>
      <c r="L19" s="20" t="s">
        <v>77</v>
      </c>
      <c r="M19" s="25" t="s">
        <v>74</v>
      </c>
    </row>
    <row r="20" spans="1:13" ht="25">
      <c r="A20" s="19" t="s">
        <v>78</v>
      </c>
      <c r="B20" s="20" t="s">
        <v>79</v>
      </c>
      <c r="C20" s="19" t="s">
        <v>72</v>
      </c>
      <c r="D20" s="19" t="s">
        <v>18</v>
      </c>
      <c r="E20" s="19" t="s">
        <v>37</v>
      </c>
      <c r="F20" s="19" t="s">
        <v>38</v>
      </c>
      <c r="G20" s="21"/>
      <c r="H20" s="21">
        <v>360000</v>
      </c>
      <c r="I20" s="22">
        <f t="shared" si="0"/>
        <v>3.6000360003600037E-3</v>
      </c>
      <c r="J20" s="22">
        <f t="shared" si="2"/>
        <v>3.6000360003600037E-3</v>
      </c>
      <c r="K20" s="19" t="s">
        <v>39</v>
      </c>
      <c r="L20" s="20" t="s">
        <v>80</v>
      </c>
      <c r="M20" s="25" t="s">
        <v>74</v>
      </c>
    </row>
    <row r="21" spans="1:13" ht="37.5">
      <c r="A21" s="19" t="s">
        <v>81</v>
      </c>
      <c r="B21" s="20" t="s">
        <v>82</v>
      </c>
      <c r="C21" s="19" t="s">
        <v>72</v>
      </c>
      <c r="D21" s="19" t="s">
        <v>18</v>
      </c>
      <c r="E21" s="19" t="s">
        <v>37</v>
      </c>
      <c r="F21" s="19" t="s">
        <v>38</v>
      </c>
      <c r="G21" s="21"/>
      <c r="H21" s="21">
        <v>1800000</v>
      </c>
      <c r="I21" s="22">
        <f t="shared" si="0"/>
        <v>1.800018000180002E-2</v>
      </c>
      <c r="J21" s="22">
        <f t="shared" si="2"/>
        <v>1.800018000180002E-2</v>
      </c>
      <c r="K21" s="19" t="s">
        <v>39</v>
      </c>
      <c r="L21" s="20" t="s">
        <v>83</v>
      </c>
      <c r="M21" s="26" t="s">
        <v>84</v>
      </c>
    </row>
    <row r="22" spans="1:13" ht="25">
      <c r="A22" s="19" t="s">
        <v>85</v>
      </c>
      <c r="B22" s="20" t="s">
        <v>86</v>
      </c>
      <c r="C22" s="19" t="s">
        <v>87</v>
      </c>
      <c r="D22" s="19" t="s">
        <v>18</v>
      </c>
      <c r="E22" s="19" t="s">
        <v>37</v>
      </c>
      <c r="F22" s="19" t="s">
        <v>38</v>
      </c>
      <c r="G22" s="21"/>
      <c r="H22" s="21">
        <v>6000</v>
      </c>
      <c r="I22" s="22">
        <f t="shared" si="0"/>
        <v>6.0000600006000059E-5</v>
      </c>
      <c r="J22" s="22">
        <f t="shared" si="2"/>
        <v>6.0000600006000059E-5</v>
      </c>
      <c r="K22" s="19" t="s">
        <v>39</v>
      </c>
      <c r="L22" s="20" t="s">
        <v>73</v>
      </c>
      <c r="M22" s="25" t="s">
        <v>74</v>
      </c>
    </row>
    <row r="23" spans="1:13" ht="25">
      <c r="A23" s="19" t="s">
        <v>88</v>
      </c>
      <c r="B23" s="20" t="s">
        <v>89</v>
      </c>
      <c r="C23" s="19" t="s">
        <v>87</v>
      </c>
      <c r="D23" s="19" t="s">
        <v>18</v>
      </c>
      <c r="E23" s="19" t="s">
        <v>37</v>
      </c>
      <c r="F23" s="19" t="s">
        <v>38</v>
      </c>
      <c r="G23" s="21"/>
      <c r="H23" s="21">
        <v>18000</v>
      </c>
      <c r="I23" s="22">
        <f t="shared" si="0"/>
        <v>1.8000180001800017E-4</v>
      </c>
      <c r="J23" s="22">
        <f t="shared" si="2"/>
        <v>1.8000180001800017E-4</v>
      </c>
      <c r="K23" s="19" t="s">
        <v>39</v>
      </c>
      <c r="L23" s="20" t="s">
        <v>90</v>
      </c>
      <c r="M23" s="25" t="s">
        <v>74</v>
      </c>
    </row>
    <row r="24" spans="1:13" ht="25">
      <c r="A24" s="19" t="s">
        <v>91</v>
      </c>
      <c r="B24" s="20" t="s">
        <v>92</v>
      </c>
      <c r="C24" s="19" t="s">
        <v>87</v>
      </c>
      <c r="D24" s="19" t="s">
        <v>18</v>
      </c>
      <c r="E24" s="19" t="s">
        <v>37</v>
      </c>
      <c r="F24" s="19" t="s">
        <v>38</v>
      </c>
      <c r="G24" s="21"/>
      <c r="H24" s="21">
        <v>96000</v>
      </c>
      <c r="I24" s="22">
        <f t="shared" si="0"/>
        <v>9.6000960009600094E-4</v>
      </c>
      <c r="J24" s="22">
        <f t="shared" si="2"/>
        <v>9.6000960009600094E-4</v>
      </c>
      <c r="K24" s="19" t="s">
        <v>39</v>
      </c>
      <c r="L24" s="20" t="s">
        <v>93</v>
      </c>
      <c r="M24" s="25" t="s">
        <v>74</v>
      </c>
    </row>
    <row r="25" spans="1:13" ht="37.5">
      <c r="A25" s="19" t="s">
        <v>94</v>
      </c>
      <c r="B25" s="20" t="s">
        <v>95</v>
      </c>
      <c r="C25" s="19" t="s">
        <v>87</v>
      </c>
      <c r="D25" s="19" t="s">
        <v>18</v>
      </c>
      <c r="E25" s="19" t="s">
        <v>37</v>
      </c>
      <c r="F25" s="19" t="s">
        <v>38</v>
      </c>
      <c r="G25" s="21"/>
      <c r="H25" s="21">
        <v>280000</v>
      </c>
      <c r="I25" s="22">
        <f t="shared" si="0"/>
        <v>2.800028000280003E-3</v>
      </c>
      <c r="J25" s="22">
        <f t="shared" si="2"/>
        <v>2.800028000280003E-3</v>
      </c>
      <c r="K25" s="19" t="s">
        <v>39</v>
      </c>
      <c r="L25" s="20" t="s">
        <v>96</v>
      </c>
      <c r="M25" s="26" t="s">
        <v>84</v>
      </c>
    </row>
    <row r="26" spans="1:13" ht="25">
      <c r="A26" s="19" t="s">
        <v>97</v>
      </c>
      <c r="B26" s="20" t="s">
        <v>98</v>
      </c>
      <c r="C26" s="19" t="s">
        <v>99</v>
      </c>
      <c r="D26" s="19" t="s">
        <v>19</v>
      </c>
      <c r="E26" s="19" t="s">
        <v>37</v>
      </c>
      <c r="F26" s="19" t="s">
        <v>38</v>
      </c>
      <c r="G26" s="21"/>
      <c r="H26" s="21">
        <v>38000</v>
      </c>
      <c r="I26" s="22">
        <f t="shared" si="0"/>
        <v>3.8000380003800038E-4</v>
      </c>
      <c r="J26" s="22">
        <f t="shared" si="2"/>
        <v>3.8000380003800038E-4</v>
      </c>
      <c r="K26" s="19" t="s">
        <v>39</v>
      </c>
      <c r="L26" s="20" t="s">
        <v>100</v>
      </c>
      <c r="M26" s="25" t="s">
        <v>74</v>
      </c>
    </row>
    <row r="27" spans="1:13" ht="25">
      <c r="A27" s="19" t="s">
        <v>101</v>
      </c>
      <c r="B27" s="20" t="s">
        <v>102</v>
      </c>
      <c r="C27" s="19" t="s">
        <v>99</v>
      </c>
      <c r="D27" s="19" t="s">
        <v>19</v>
      </c>
      <c r="E27" s="19" t="s">
        <v>37</v>
      </c>
      <c r="F27" s="19" t="s">
        <v>38</v>
      </c>
      <c r="G27" s="21"/>
      <c r="H27" s="21">
        <v>114000</v>
      </c>
      <c r="I27" s="22">
        <f t="shared" si="0"/>
        <v>1.1400114001140012E-3</v>
      </c>
      <c r="J27" s="22">
        <f t="shared" si="2"/>
        <v>1.1400114001140012E-3</v>
      </c>
      <c r="K27" s="19" t="s">
        <v>39</v>
      </c>
      <c r="L27" s="20" t="s">
        <v>103</v>
      </c>
      <c r="M27" s="25" t="s">
        <v>74</v>
      </c>
    </row>
    <row r="28" spans="1:13" ht="25">
      <c r="A28" s="19" t="s">
        <v>104</v>
      </c>
      <c r="B28" s="20" t="s">
        <v>105</v>
      </c>
      <c r="C28" s="19" t="s">
        <v>99</v>
      </c>
      <c r="D28" s="19" t="s">
        <v>19</v>
      </c>
      <c r="E28" s="19" t="s">
        <v>37</v>
      </c>
      <c r="F28" s="19" t="s">
        <v>38</v>
      </c>
      <c r="G28" s="21"/>
      <c r="H28" s="21">
        <v>608000</v>
      </c>
      <c r="I28" s="22">
        <f t="shared" si="0"/>
        <v>6.0800608006080061E-3</v>
      </c>
      <c r="J28" s="22">
        <f t="shared" si="2"/>
        <v>6.0800608006080061E-3</v>
      </c>
      <c r="K28" s="19" t="s">
        <v>39</v>
      </c>
      <c r="L28" s="20" t="s">
        <v>106</v>
      </c>
      <c r="M28" s="25" t="s">
        <v>74</v>
      </c>
    </row>
    <row r="29" spans="1:13" ht="50">
      <c r="A29" s="19" t="s">
        <v>107</v>
      </c>
      <c r="B29" s="20" t="s">
        <v>108</v>
      </c>
      <c r="C29" s="19" t="s">
        <v>99</v>
      </c>
      <c r="D29" s="19" t="s">
        <v>19</v>
      </c>
      <c r="E29" s="19" t="s">
        <v>37</v>
      </c>
      <c r="F29" s="19" t="s">
        <v>38</v>
      </c>
      <c r="G29" s="21"/>
      <c r="H29" s="21">
        <v>1140000</v>
      </c>
      <c r="I29" s="22">
        <f t="shared" si="0"/>
        <v>1.1400114001140011E-2</v>
      </c>
      <c r="J29" s="22">
        <f t="shared" si="2"/>
        <v>1.1400114001140011E-2</v>
      </c>
      <c r="K29" s="19" t="s">
        <v>39</v>
      </c>
      <c r="L29" s="20" t="s">
        <v>109</v>
      </c>
      <c r="M29" s="26" t="s">
        <v>84</v>
      </c>
    </row>
    <row r="30" spans="1:13">
      <c r="A30" s="16" t="s">
        <v>110</v>
      </c>
      <c r="B30" s="16" t="s">
        <v>111</v>
      </c>
      <c r="C30" s="16"/>
      <c r="D30" s="16"/>
      <c r="E30" s="16"/>
      <c r="F30" s="16"/>
      <c r="G30" s="16"/>
      <c r="H30" s="17">
        <f>SUM(H31:H46)</f>
        <v>8501000</v>
      </c>
      <c r="I30" s="18">
        <f t="shared" si="0"/>
        <v>8.5010850108501082E-2</v>
      </c>
      <c r="J30" s="18">
        <f>J17+I30</f>
        <v>0.22840228402284019</v>
      </c>
      <c r="K30" s="16"/>
      <c r="L30" s="16"/>
      <c r="M30" s="16"/>
    </row>
    <row r="31" spans="1:13" ht="25">
      <c r="A31" s="19" t="s">
        <v>112</v>
      </c>
      <c r="B31" s="20" t="s">
        <v>113</v>
      </c>
      <c r="C31" s="19" t="s">
        <v>114</v>
      </c>
      <c r="D31" s="19" t="s">
        <v>18</v>
      </c>
      <c r="E31" s="19" t="s">
        <v>37</v>
      </c>
      <c r="F31" s="19" t="s">
        <v>38</v>
      </c>
      <c r="G31" s="21"/>
      <c r="H31" s="21">
        <v>55350</v>
      </c>
      <c r="I31" s="22">
        <f t="shared" si="0"/>
        <v>5.5350553505535054E-4</v>
      </c>
      <c r="J31" s="22">
        <f t="shared" ref="J31:J46" si="3">I31</f>
        <v>5.5350553505535054E-4</v>
      </c>
      <c r="K31" s="27" t="s">
        <v>115</v>
      </c>
      <c r="L31" s="20" t="s">
        <v>73</v>
      </c>
      <c r="M31" s="25" t="s">
        <v>74</v>
      </c>
    </row>
    <row r="32" spans="1:13" ht="25">
      <c r="A32" s="19" t="s">
        <v>116</v>
      </c>
      <c r="B32" s="20" t="s">
        <v>117</v>
      </c>
      <c r="C32" s="19" t="s">
        <v>114</v>
      </c>
      <c r="D32" s="19" t="s">
        <v>18</v>
      </c>
      <c r="E32" s="19" t="s">
        <v>37</v>
      </c>
      <c r="F32" s="19" t="s">
        <v>38</v>
      </c>
      <c r="G32" s="21"/>
      <c r="H32" s="21">
        <v>166050</v>
      </c>
      <c r="I32" s="22">
        <f t="shared" si="0"/>
        <v>1.6605166051660517E-3</v>
      </c>
      <c r="J32" s="22">
        <f t="shared" si="3"/>
        <v>1.6605166051660517E-3</v>
      </c>
      <c r="K32" s="27" t="s">
        <v>115</v>
      </c>
      <c r="L32" s="20" t="s">
        <v>118</v>
      </c>
      <c r="M32" s="25" t="s">
        <v>74</v>
      </c>
    </row>
    <row r="33" spans="1:13" ht="25">
      <c r="A33" s="19" t="s">
        <v>119</v>
      </c>
      <c r="B33" s="20" t="s">
        <v>120</v>
      </c>
      <c r="C33" s="19" t="s">
        <v>114</v>
      </c>
      <c r="D33" s="19" t="s">
        <v>18</v>
      </c>
      <c r="E33" s="19" t="s">
        <v>37</v>
      </c>
      <c r="F33" s="19" t="s">
        <v>38</v>
      </c>
      <c r="G33" s="21"/>
      <c r="H33" s="21">
        <v>885600</v>
      </c>
      <c r="I33" s="22">
        <f t="shared" si="0"/>
        <v>8.8560885608856086E-3</v>
      </c>
      <c r="J33" s="22">
        <f t="shared" si="3"/>
        <v>8.8560885608856086E-3</v>
      </c>
      <c r="K33" s="27" t="s">
        <v>115</v>
      </c>
      <c r="L33" s="20" t="s">
        <v>121</v>
      </c>
      <c r="M33" s="25" t="s">
        <v>74</v>
      </c>
    </row>
    <row r="34" spans="1:13" ht="37.5">
      <c r="A34" s="19" t="s">
        <v>122</v>
      </c>
      <c r="B34" s="20" t="s">
        <v>123</v>
      </c>
      <c r="C34" s="19" t="s">
        <v>114</v>
      </c>
      <c r="D34" s="19" t="s">
        <v>18</v>
      </c>
      <c r="E34" s="19" t="s">
        <v>37</v>
      </c>
      <c r="F34" s="19" t="s">
        <v>38</v>
      </c>
      <c r="G34" s="21"/>
      <c r="H34" s="21">
        <v>2583000</v>
      </c>
      <c r="I34" s="22">
        <f t="shared" si="0"/>
        <v>2.5830258302583026E-2</v>
      </c>
      <c r="J34" s="22">
        <f t="shared" si="3"/>
        <v>2.5830258302583026E-2</v>
      </c>
      <c r="K34" s="19" t="s">
        <v>39</v>
      </c>
      <c r="L34" s="20" t="s">
        <v>124</v>
      </c>
      <c r="M34" s="26" t="s">
        <v>84</v>
      </c>
    </row>
    <row r="35" spans="1:13" ht="25">
      <c r="A35" s="19" t="s">
        <v>125</v>
      </c>
      <c r="B35" s="20" t="s">
        <v>126</v>
      </c>
      <c r="C35" s="19" t="s">
        <v>127</v>
      </c>
      <c r="D35" s="19" t="s">
        <v>18</v>
      </c>
      <c r="E35" s="19" t="s">
        <v>37</v>
      </c>
      <c r="F35" s="19" t="s">
        <v>38</v>
      </c>
      <c r="G35" s="21"/>
      <c r="H35" s="21">
        <v>14900</v>
      </c>
      <c r="I35" s="22">
        <f t="shared" si="0"/>
        <v>1.4900149001490016E-4</v>
      </c>
      <c r="J35" s="22">
        <f t="shared" si="3"/>
        <v>1.4900149001490016E-4</v>
      </c>
      <c r="K35" s="19" t="s">
        <v>39</v>
      </c>
      <c r="L35" s="20" t="s">
        <v>73</v>
      </c>
      <c r="M35" s="25" t="s">
        <v>74</v>
      </c>
    </row>
    <row r="36" spans="1:13" ht="25">
      <c r="A36" s="19" t="s">
        <v>128</v>
      </c>
      <c r="B36" s="20" t="s">
        <v>129</v>
      </c>
      <c r="C36" s="19" t="s">
        <v>127</v>
      </c>
      <c r="D36" s="19" t="s">
        <v>18</v>
      </c>
      <c r="E36" s="19" t="s">
        <v>37</v>
      </c>
      <c r="F36" s="19" t="s">
        <v>38</v>
      </c>
      <c r="G36" s="21"/>
      <c r="H36" s="21">
        <v>44700</v>
      </c>
      <c r="I36" s="22">
        <f t="shared" si="0"/>
        <v>4.4700447004470046E-4</v>
      </c>
      <c r="J36" s="22">
        <f t="shared" si="3"/>
        <v>4.4700447004470046E-4</v>
      </c>
      <c r="K36" s="19" t="s">
        <v>39</v>
      </c>
      <c r="L36" s="20" t="s">
        <v>130</v>
      </c>
      <c r="M36" s="25" t="s">
        <v>74</v>
      </c>
    </row>
    <row r="37" spans="1:13" ht="25">
      <c r="A37" s="19" t="s">
        <v>131</v>
      </c>
      <c r="B37" s="20" t="s">
        <v>132</v>
      </c>
      <c r="C37" s="19" t="s">
        <v>127</v>
      </c>
      <c r="D37" s="19" t="s">
        <v>18</v>
      </c>
      <c r="E37" s="19" t="s">
        <v>37</v>
      </c>
      <c r="F37" s="19" t="s">
        <v>38</v>
      </c>
      <c r="G37" s="21"/>
      <c r="H37" s="21">
        <v>238400</v>
      </c>
      <c r="I37" s="22">
        <f t="shared" si="0"/>
        <v>2.3840238402384026E-3</v>
      </c>
      <c r="J37" s="22">
        <f t="shared" si="3"/>
        <v>2.3840238402384026E-3</v>
      </c>
      <c r="K37" s="19" t="s">
        <v>39</v>
      </c>
      <c r="L37" s="20" t="s">
        <v>133</v>
      </c>
      <c r="M37" s="25" t="s">
        <v>74</v>
      </c>
    </row>
    <row r="38" spans="1:13" ht="37.5">
      <c r="A38" s="19" t="s">
        <v>134</v>
      </c>
      <c r="B38" s="20" t="s">
        <v>135</v>
      </c>
      <c r="C38" s="19" t="s">
        <v>127</v>
      </c>
      <c r="D38" s="19" t="s">
        <v>18</v>
      </c>
      <c r="E38" s="19" t="s">
        <v>37</v>
      </c>
      <c r="F38" s="19" t="s">
        <v>38</v>
      </c>
      <c r="G38" s="21"/>
      <c r="H38" s="21">
        <v>1192000</v>
      </c>
      <c r="I38" s="22">
        <f t="shared" ref="I38:I69" si="4">H38/$H$87</f>
        <v>1.1920119201192013E-2</v>
      </c>
      <c r="J38" s="22">
        <f t="shared" si="3"/>
        <v>1.1920119201192013E-2</v>
      </c>
      <c r="K38" s="19" t="s">
        <v>39</v>
      </c>
      <c r="L38" s="20" t="s">
        <v>136</v>
      </c>
      <c r="M38" s="26" t="s">
        <v>84</v>
      </c>
    </row>
    <row r="39" spans="1:13" ht="25">
      <c r="A39" s="19" t="s">
        <v>137</v>
      </c>
      <c r="B39" s="20" t="s">
        <v>138</v>
      </c>
      <c r="C39" s="19" t="s">
        <v>139</v>
      </c>
      <c r="D39" s="19" t="s">
        <v>19</v>
      </c>
      <c r="E39" s="19" t="s">
        <v>37</v>
      </c>
      <c r="F39" s="19" t="s">
        <v>38</v>
      </c>
      <c r="G39" s="21"/>
      <c r="H39" s="21">
        <v>14850</v>
      </c>
      <c r="I39" s="22">
        <f t="shared" si="4"/>
        <v>1.4850148501485016E-4</v>
      </c>
      <c r="J39" s="22">
        <f t="shared" si="3"/>
        <v>1.4850148501485016E-4</v>
      </c>
      <c r="K39" s="27" t="s">
        <v>115</v>
      </c>
      <c r="L39" s="20" t="s">
        <v>100</v>
      </c>
      <c r="M39" s="25" t="s">
        <v>74</v>
      </c>
    </row>
    <row r="40" spans="1:13" ht="25">
      <c r="A40" s="19" t="s">
        <v>140</v>
      </c>
      <c r="B40" s="20" t="s">
        <v>141</v>
      </c>
      <c r="C40" s="19" t="s">
        <v>139</v>
      </c>
      <c r="D40" s="19" t="s">
        <v>19</v>
      </c>
      <c r="E40" s="19" t="s">
        <v>37</v>
      </c>
      <c r="F40" s="19" t="s">
        <v>38</v>
      </c>
      <c r="G40" s="21"/>
      <c r="H40" s="21">
        <v>44550</v>
      </c>
      <c r="I40" s="22">
        <f t="shared" si="4"/>
        <v>4.4550445504455043E-4</v>
      </c>
      <c r="J40" s="22">
        <f t="shared" si="3"/>
        <v>4.4550445504455043E-4</v>
      </c>
      <c r="K40" s="27" t="s">
        <v>115</v>
      </c>
      <c r="L40" s="20" t="s">
        <v>142</v>
      </c>
      <c r="M40" s="25" t="s">
        <v>74</v>
      </c>
    </row>
    <row r="41" spans="1:13" ht="25">
      <c r="A41" s="19" t="s">
        <v>143</v>
      </c>
      <c r="B41" s="20" t="s">
        <v>144</v>
      </c>
      <c r="C41" s="19" t="s">
        <v>139</v>
      </c>
      <c r="D41" s="19" t="s">
        <v>19</v>
      </c>
      <c r="E41" s="19" t="s">
        <v>37</v>
      </c>
      <c r="F41" s="19" t="s">
        <v>38</v>
      </c>
      <c r="G41" s="21"/>
      <c r="H41" s="21">
        <v>237600</v>
      </c>
      <c r="I41" s="22">
        <f t="shared" si="4"/>
        <v>2.3760237602376026E-3</v>
      </c>
      <c r="J41" s="22">
        <f t="shared" si="3"/>
        <v>2.3760237602376026E-3</v>
      </c>
      <c r="K41" s="27" t="s">
        <v>115</v>
      </c>
      <c r="L41" s="20" t="s">
        <v>145</v>
      </c>
      <c r="M41" s="25" t="s">
        <v>74</v>
      </c>
    </row>
    <row r="42" spans="1:13" ht="37.5">
      <c r="A42" s="19" t="s">
        <v>146</v>
      </c>
      <c r="B42" s="20" t="s">
        <v>147</v>
      </c>
      <c r="C42" s="19" t="s">
        <v>139</v>
      </c>
      <c r="D42" s="19" t="s">
        <v>19</v>
      </c>
      <c r="E42" s="19" t="s">
        <v>37</v>
      </c>
      <c r="F42" s="19" t="s">
        <v>38</v>
      </c>
      <c r="G42" s="21"/>
      <c r="H42" s="21">
        <v>693000</v>
      </c>
      <c r="I42" s="22">
        <f t="shared" si="4"/>
        <v>6.9300693006930066E-3</v>
      </c>
      <c r="J42" s="22">
        <f t="shared" si="3"/>
        <v>6.9300693006930066E-3</v>
      </c>
      <c r="K42" s="19" t="s">
        <v>39</v>
      </c>
      <c r="L42" s="20" t="s">
        <v>148</v>
      </c>
      <c r="M42" s="26" t="s">
        <v>84</v>
      </c>
    </row>
    <row r="43" spans="1:13" ht="25">
      <c r="A43" s="19" t="s">
        <v>149</v>
      </c>
      <c r="B43" s="20" t="s">
        <v>150</v>
      </c>
      <c r="C43" s="19" t="s">
        <v>151</v>
      </c>
      <c r="D43" s="19" t="s">
        <v>18</v>
      </c>
      <c r="E43" s="19" t="s">
        <v>37</v>
      </c>
      <c r="F43" s="19" t="s">
        <v>38</v>
      </c>
      <c r="G43" s="21"/>
      <c r="H43" s="21">
        <v>23310</v>
      </c>
      <c r="I43" s="22">
        <f t="shared" si="4"/>
        <v>2.3310233102331022E-4</v>
      </c>
      <c r="J43" s="22">
        <f t="shared" si="3"/>
        <v>2.3310233102331022E-4</v>
      </c>
      <c r="K43" s="19" t="s">
        <v>39</v>
      </c>
      <c r="L43" s="20" t="s">
        <v>73</v>
      </c>
      <c r="M43" s="25" t="s">
        <v>74</v>
      </c>
    </row>
    <row r="44" spans="1:13" ht="25">
      <c r="A44" s="19" t="s">
        <v>152</v>
      </c>
      <c r="B44" s="20" t="s">
        <v>153</v>
      </c>
      <c r="C44" s="19" t="s">
        <v>151</v>
      </c>
      <c r="D44" s="19" t="s">
        <v>18</v>
      </c>
      <c r="E44" s="19" t="s">
        <v>37</v>
      </c>
      <c r="F44" s="19" t="s">
        <v>38</v>
      </c>
      <c r="G44" s="21"/>
      <c r="H44" s="21">
        <v>69930</v>
      </c>
      <c r="I44" s="22">
        <f t="shared" si="4"/>
        <v>6.9930699306993067E-4</v>
      </c>
      <c r="J44" s="22">
        <f t="shared" si="3"/>
        <v>6.9930699306993067E-4</v>
      </c>
      <c r="K44" s="19" t="s">
        <v>39</v>
      </c>
      <c r="L44" s="20" t="s">
        <v>154</v>
      </c>
      <c r="M44" s="25" t="s">
        <v>74</v>
      </c>
    </row>
    <row r="45" spans="1:13" ht="25">
      <c r="A45" s="19" t="s">
        <v>155</v>
      </c>
      <c r="B45" s="20" t="s">
        <v>156</v>
      </c>
      <c r="C45" s="19" t="s">
        <v>151</v>
      </c>
      <c r="D45" s="19" t="s">
        <v>18</v>
      </c>
      <c r="E45" s="19" t="s">
        <v>37</v>
      </c>
      <c r="F45" s="19" t="s">
        <v>38</v>
      </c>
      <c r="G45" s="21"/>
      <c r="H45" s="21">
        <v>372960</v>
      </c>
      <c r="I45" s="22">
        <f t="shared" si="4"/>
        <v>3.7296372963729636E-3</v>
      </c>
      <c r="J45" s="22">
        <f t="shared" si="3"/>
        <v>3.7296372963729636E-3</v>
      </c>
      <c r="K45" s="19" t="s">
        <v>39</v>
      </c>
      <c r="L45" s="20" t="s">
        <v>157</v>
      </c>
      <c r="M45" s="25" t="s">
        <v>74</v>
      </c>
    </row>
    <row r="46" spans="1:13" ht="37.5">
      <c r="A46" s="19" t="s">
        <v>158</v>
      </c>
      <c r="B46" s="20" t="s">
        <v>159</v>
      </c>
      <c r="C46" s="19" t="s">
        <v>151</v>
      </c>
      <c r="D46" s="19" t="s">
        <v>18</v>
      </c>
      <c r="E46" s="19" t="s">
        <v>37</v>
      </c>
      <c r="F46" s="19" t="s">
        <v>38</v>
      </c>
      <c r="G46" s="21"/>
      <c r="H46" s="21">
        <v>1864800</v>
      </c>
      <c r="I46" s="22">
        <f t="shared" si="4"/>
        <v>1.864818648186482E-2</v>
      </c>
      <c r="J46" s="22">
        <f t="shared" si="3"/>
        <v>1.864818648186482E-2</v>
      </c>
      <c r="K46" s="19" t="s">
        <v>39</v>
      </c>
      <c r="L46" s="20" t="s">
        <v>160</v>
      </c>
      <c r="M46" s="26" t="s">
        <v>84</v>
      </c>
    </row>
    <row r="47" spans="1:13">
      <c r="A47" s="16" t="s">
        <v>161</v>
      </c>
      <c r="B47" s="16" t="s">
        <v>162</v>
      </c>
      <c r="C47" s="16"/>
      <c r="D47" s="16"/>
      <c r="E47" s="16"/>
      <c r="F47" s="16"/>
      <c r="G47" s="16"/>
      <c r="H47" s="17">
        <f>SUM(H48:H63)</f>
        <v>12170000</v>
      </c>
      <c r="I47" s="18">
        <f t="shared" si="4"/>
        <v>0.12170121701217013</v>
      </c>
      <c r="J47" s="18">
        <f>J30+I47</f>
        <v>0.35010350103501031</v>
      </c>
      <c r="K47" s="16"/>
      <c r="L47" s="16"/>
      <c r="M47" s="16"/>
    </row>
    <row r="48" spans="1:13" ht="25">
      <c r="A48" s="19" t="s">
        <v>163</v>
      </c>
      <c r="B48" s="20" t="s">
        <v>164</v>
      </c>
      <c r="C48" s="19" t="s">
        <v>165</v>
      </c>
      <c r="D48" s="19" t="s">
        <v>18</v>
      </c>
      <c r="E48" s="19" t="s">
        <v>37</v>
      </c>
      <c r="F48" s="19" t="s">
        <v>38</v>
      </c>
      <c r="G48" s="21"/>
      <c r="H48" s="21">
        <v>108800</v>
      </c>
      <c r="I48" s="22">
        <f t="shared" si="4"/>
        <v>1.0880108801088011E-3</v>
      </c>
      <c r="J48" s="22">
        <f t="shared" ref="J48:J63" si="5">I48</f>
        <v>1.0880108801088011E-3</v>
      </c>
      <c r="K48" s="19" t="s">
        <v>39</v>
      </c>
      <c r="L48" s="20" t="s">
        <v>73</v>
      </c>
      <c r="M48" s="25" t="s">
        <v>74</v>
      </c>
    </row>
    <row r="49" spans="1:13" ht="25">
      <c r="A49" s="19" t="s">
        <v>166</v>
      </c>
      <c r="B49" s="20" t="s">
        <v>167</v>
      </c>
      <c r="C49" s="19" t="s">
        <v>165</v>
      </c>
      <c r="D49" s="19" t="s">
        <v>18</v>
      </c>
      <c r="E49" s="19" t="s">
        <v>37</v>
      </c>
      <c r="F49" s="19" t="s">
        <v>38</v>
      </c>
      <c r="G49" s="21"/>
      <c r="H49" s="21">
        <v>326400</v>
      </c>
      <c r="I49" s="22">
        <f t="shared" si="4"/>
        <v>3.2640326403264031E-3</v>
      </c>
      <c r="J49" s="22">
        <f t="shared" si="5"/>
        <v>3.2640326403264031E-3</v>
      </c>
      <c r="K49" s="19" t="s">
        <v>39</v>
      </c>
      <c r="L49" s="20" t="s">
        <v>168</v>
      </c>
      <c r="M49" s="25" t="s">
        <v>74</v>
      </c>
    </row>
    <row r="50" spans="1:13" ht="37.5">
      <c r="A50" s="19" t="s">
        <v>169</v>
      </c>
      <c r="B50" s="20" t="s">
        <v>170</v>
      </c>
      <c r="C50" s="19" t="s">
        <v>165</v>
      </c>
      <c r="D50" s="19" t="s">
        <v>18</v>
      </c>
      <c r="E50" s="19" t="s">
        <v>37</v>
      </c>
      <c r="F50" s="19" t="s">
        <v>38</v>
      </c>
      <c r="G50" s="21"/>
      <c r="H50" s="21">
        <v>1740800</v>
      </c>
      <c r="I50" s="22">
        <f t="shared" si="4"/>
        <v>1.7408174081740817E-2</v>
      </c>
      <c r="J50" s="22">
        <f t="shared" si="5"/>
        <v>1.7408174081740817E-2</v>
      </c>
      <c r="K50" s="19" t="s">
        <v>39</v>
      </c>
      <c r="L50" s="20" t="s">
        <v>171</v>
      </c>
      <c r="M50" s="25" t="s">
        <v>74</v>
      </c>
    </row>
    <row r="51" spans="1:13" ht="37.5">
      <c r="A51" s="19" t="s">
        <v>172</v>
      </c>
      <c r="B51" s="20" t="s">
        <v>173</v>
      </c>
      <c r="C51" s="19" t="s">
        <v>165</v>
      </c>
      <c r="D51" s="19" t="s">
        <v>18</v>
      </c>
      <c r="E51" s="19" t="s">
        <v>37</v>
      </c>
      <c r="F51" s="19" t="s">
        <v>38</v>
      </c>
      <c r="G51" s="21"/>
      <c r="H51" s="21">
        <v>8704000</v>
      </c>
      <c r="I51" s="22">
        <f t="shared" si="4"/>
        <v>8.7040870408704091E-2</v>
      </c>
      <c r="J51" s="22">
        <f t="shared" si="5"/>
        <v>8.7040870408704091E-2</v>
      </c>
      <c r="K51" s="19" t="s">
        <v>39</v>
      </c>
      <c r="L51" s="20" t="s">
        <v>174</v>
      </c>
      <c r="M51" s="26" t="s">
        <v>84</v>
      </c>
    </row>
    <row r="52" spans="1:13" ht="25">
      <c r="A52" s="19" t="s">
        <v>175</v>
      </c>
      <c r="B52" s="20" t="s">
        <v>176</v>
      </c>
      <c r="C52" s="19" t="s">
        <v>177</v>
      </c>
      <c r="D52" s="19" t="s">
        <v>18</v>
      </c>
      <c r="E52" s="19" t="s">
        <v>37</v>
      </c>
      <c r="F52" s="19" t="s">
        <v>38</v>
      </c>
      <c r="G52" s="21"/>
      <c r="H52" s="21">
        <v>7900</v>
      </c>
      <c r="I52" s="22">
        <f t="shared" si="4"/>
        <v>7.9000790007900077E-5</v>
      </c>
      <c r="J52" s="22">
        <f t="shared" si="5"/>
        <v>7.9000790007900077E-5</v>
      </c>
      <c r="K52" s="19" t="s">
        <v>39</v>
      </c>
      <c r="L52" s="20" t="s">
        <v>73</v>
      </c>
      <c r="M52" s="25" t="s">
        <v>74</v>
      </c>
    </row>
    <row r="53" spans="1:13" ht="25">
      <c r="A53" s="19" t="s">
        <v>178</v>
      </c>
      <c r="B53" s="20" t="s">
        <v>179</v>
      </c>
      <c r="C53" s="19" t="s">
        <v>177</v>
      </c>
      <c r="D53" s="19" t="s">
        <v>18</v>
      </c>
      <c r="E53" s="19" t="s">
        <v>37</v>
      </c>
      <c r="F53" s="19" t="s">
        <v>38</v>
      </c>
      <c r="G53" s="21"/>
      <c r="H53" s="21">
        <v>23700</v>
      </c>
      <c r="I53" s="22">
        <f t="shared" si="4"/>
        <v>2.3700237002370023E-4</v>
      </c>
      <c r="J53" s="22">
        <f t="shared" si="5"/>
        <v>2.3700237002370023E-4</v>
      </c>
      <c r="K53" s="19" t="s">
        <v>39</v>
      </c>
      <c r="L53" s="20" t="s">
        <v>180</v>
      </c>
      <c r="M53" s="25" t="s">
        <v>74</v>
      </c>
    </row>
    <row r="54" spans="1:13" ht="25">
      <c r="A54" s="19" t="s">
        <v>181</v>
      </c>
      <c r="B54" s="20" t="s">
        <v>182</v>
      </c>
      <c r="C54" s="19" t="s">
        <v>177</v>
      </c>
      <c r="D54" s="19" t="s">
        <v>18</v>
      </c>
      <c r="E54" s="19" t="s">
        <v>37</v>
      </c>
      <c r="F54" s="19" t="s">
        <v>38</v>
      </c>
      <c r="G54" s="21"/>
      <c r="H54" s="21">
        <v>126400</v>
      </c>
      <c r="I54" s="22">
        <f t="shared" si="4"/>
        <v>1.2640126401264012E-3</v>
      </c>
      <c r="J54" s="22">
        <f t="shared" si="5"/>
        <v>1.2640126401264012E-3</v>
      </c>
      <c r="K54" s="19" t="s">
        <v>39</v>
      </c>
      <c r="L54" s="20" t="s">
        <v>183</v>
      </c>
      <c r="M54" s="25" t="s">
        <v>74</v>
      </c>
    </row>
    <row r="55" spans="1:13" ht="50">
      <c r="A55" s="19" t="s">
        <v>184</v>
      </c>
      <c r="B55" s="20" t="s">
        <v>185</v>
      </c>
      <c r="C55" s="19" t="s">
        <v>177</v>
      </c>
      <c r="D55" s="19" t="s">
        <v>18</v>
      </c>
      <c r="E55" s="19" t="s">
        <v>37</v>
      </c>
      <c r="F55" s="19" t="s">
        <v>38</v>
      </c>
      <c r="G55" s="21"/>
      <c r="H55" s="21">
        <v>632000</v>
      </c>
      <c r="I55" s="22">
        <f t="shared" si="4"/>
        <v>6.3200632006320066E-3</v>
      </c>
      <c r="J55" s="22">
        <f t="shared" si="5"/>
        <v>6.3200632006320066E-3</v>
      </c>
      <c r="K55" s="19" t="s">
        <v>39</v>
      </c>
      <c r="L55" s="20" t="s">
        <v>186</v>
      </c>
      <c r="M55" s="26" t="s">
        <v>84</v>
      </c>
    </row>
    <row r="56" spans="1:13" ht="25">
      <c r="A56" s="19" t="s">
        <v>187</v>
      </c>
      <c r="B56" s="20" t="s">
        <v>188</v>
      </c>
      <c r="C56" s="19" t="s">
        <v>189</v>
      </c>
      <c r="D56" s="19" t="s">
        <v>18</v>
      </c>
      <c r="E56" s="19" t="s">
        <v>37</v>
      </c>
      <c r="F56" s="19" t="s">
        <v>38</v>
      </c>
      <c r="G56" s="21"/>
      <c r="H56" s="21">
        <v>2000</v>
      </c>
      <c r="I56" s="22">
        <f t="shared" si="4"/>
        <v>2.000020000200002E-5</v>
      </c>
      <c r="J56" s="22">
        <f t="shared" si="5"/>
        <v>2.000020000200002E-5</v>
      </c>
      <c r="K56" s="19" t="s">
        <v>39</v>
      </c>
      <c r="L56" s="20" t="s">
        <v>73</v>
      </c>
      <c r="M56" s="25" t="s">
        <v>74</v>
      </c>
    </row>
    <row r="57" spans="1:13" ht="25">
      <c r="A57" s="19" t="s">
        <v>190</v>
      </c>
      <c r="B57" s="20" t="s">
        <v>191</v>
      </c>
      <c r="C57" s="19" t="s">
        <v>189</v>
      </c>
      <c r="D57" s="19" t="s">
        <v>18</v>
      </c>
      <c r="E57" s="19" t="s">
        <v>37</v>
      </c>
      <c r="F57" s="19" t="s">
        <v>38</v>
      </c>
      <c r="G57" s="21"/>
      <c r="H57" s="21">
        <v>6000</v>
      </c>
      <c r="I57" s="22">
        <f t="shared" si="4"/>
        <v>6.0000600006000059E-5</v>
      </c>
      <c r="J57" s="22">
        <f t="shared" si="5"/>
        <v>6.0000600006000059E-5</v>
      </c>
      <c r="K57" s="19" t="s">
        <v>39</v>
      </c>
      <c r="L57" s="20" t="s">
        <v>192</v>
      </c>
      <c r="M57" s="25" t="s">
        <v>74</v>
      </c>
    </row>
    <row r="58" spans="1:13" ht="25">
      <c r="A58" s="19" t="s">
        <v>193</v>
      </c>
      <c r="B58" s="20" t="s">
        <v>194</v>
      </c>
      <c r="C58" s="19" t="s">
        <v>189</v>
      </c>
      <c r="D58" s="19" t="s">
        <v>18</v>
      </c>
      <c r="E58" s="19" t="s">
        <v>37</v>
      </c>
      <c r="F58" s="19" t="s">
        <v>38</v>
      </c>
      <c r="G58" s="21"/>
      <c r="H58" s="21">
        <v>32000</v>
      </c>
      <c r="I58" s="22">
        <f t="shared" si="4"/>
        <v>3.2000320003200031E-4</v>
      </c>
      <c r="J58" s="22">
        <f t="shared" si="5"/>
        <v>3.2000320003200031E-4</v>
      </c>
      <c r="K58" s="19" t="s">
        <v>39</v>
      </c>
      <c r="L58" s="20" t="s">
        <v>195</v>
      </c>
      <c r="M58" s="25" t="s">
        <v>74</v>
      </c>
    </row>
    <row r="59" spans="1:13" ht="50">
      <c r="A59" s="19" t="s">
        <v>196</v>
      </c>
      <c r="B59" s="20" t="s">
        <v>197</v>
      </c>
      <c r="C59" s="19" t="s">
        <v>189</v>
      </c>
      <c r="D59" s="19" t="s">
        <v>18</v>
      </c>
      <c r="E59" s="19" t="s">
        <v>37</v>
      </c>
      <c r="F59" s="19" t="s">
        <v>38</v>
      </c>
      <c r="G59" s="21"/>
      <c r="H59" s="21">
        <v>160000</v>
      </c>
      <c r="I59" s="22">
        <f t="shared" si="4"/>
        <v>1.6000160001600017E-3</v>
      </c>
      <c r="J59" s="22">
        <f t="shared" si="5"/>
        <v>1.6000160001600017E-3</v>
      </c>
      <c r="K59" s="19" t="s">
        <v>39</v>
      </c>
      <c r="L59" s="20" t="s">
        <v>198</v>
      </c>
      <c r="M59" s="26" t="s">
        <v>84</v>
      </c>
    </row>
    <row r="60" spans="1:13" ht="25">
      <c r="A60" s="19" t="s">
        <v>199</v>
      </c>
      <c r="B60" s="20" t="s">
        <v>200</v>
      </c>
      <c r="C60" s="19" t="s">
        <v>201</v>
      </c>
      <c r="D60" s="19" t="s">
        <v>18</v>
      </c>
      <c r="E60" s="19" t="s">
        <v>37</v>
      </c>
      <c r="F60" s="19" t="s">
        <v>38</v>
      </c>
      <c r="G60" s="21"/>
      <c r="H60" s="21">
        <v>4500</v>
      </c>
      <c r="I60" s="22">
        <f t="shared" si="4"/>
        <v>4.5000450004500043E-5</v>
      </c>
      <c r="J60" s="22">
        <f t="shared" si="5"/>
        <v>4.5000450004500043E-5</v>
      </c>
      <c r="K60" s="19" t="s">
        <v>39</v>
      </c>
      <c r="L60" s="20" t="s">
        <v>73</v>
      </c>
      <c r="M60" s="25" t="s">
        <v>74</v>
      </c>
    </row>
    <row r="61" spans="1:13" ht="25">
      <c r="A61" s="19" t="s">
        <v>202</v>
      </c>
      <c r="B61" s="20" t="s">
        <v>203</v>
      </c>
      <c r="C61" s="19" t="s">
        <v>201</v>
      </c>
      <c r="D61" s="19" t="s">
        <v>18</v>
      </c>
      <c r="E61" s="19" t="s">
        <v>37</v>
      </c>
      <c r="F61" s="19" t="s">
        <v>38</v>
      </c>
      <c r="G61" s="21"/>
      <c r="H61" s="21">
        <v>13500</v>
      </c>
      <c r="I61" s="22">
        <f t="shared" si="4"/>
        <v>1.3500135001350013E-4</v>
      </c>
      <c r="J61" s="22">
        <f t="shared" si="5"/>
        <v>1.3500135001350013E-4</v>
      </c>
      <c r="K61" s="19" t="s">
        <v>39</v>
      </c>
      <c r="L61" s="20" t="s">
        <v>204</v>
      </c>
      <c r="M61" s="25" t="s">
        <v>74</v>
      </c>
    </row>
    <row r="62" spans="1:13" ht="25">
      <c r="A62" s="19" t="s">
        <v>205</v>
      </c>
      <c r="B62" s="20" t="s">
        <v>206</v>
      </c>
      <c r="C62" s="19" t="s">
        <v>201</v>
      </c>
      <c r="D62" s="19" t="s">
        <v>18</v>
      </c>
      <c r="E62" s="19" t="s">
        <v>37</v>
      </c>
      <c r="F62" s="19" t="s">
        <v>38</v>
      </c>
      <c r="G62" s="21"/>
      <c r="H62" s="21">
        <v>72000</v>
      </c>
      <c r="I62" s="22">
        <f t="shared" si="4"/>
        <v>7.2000720007200068E-4</v>
      </c>
      <c r="J62" s="22">
        <f t="shared" si="5"/>
        <v>7.2000720007200068E-4</v>
      </c>
      <c r="K62" s="19" t="s">
        <v>39</v>
      </c>
      <c r="L62" s="20" t="s">
        <v>207</v>
      </c>
      <c r="M62" s="25" t="s">
        <v>74</v>
      </c>
    </row>
    <row r="63" spans="1:13" ht="50">
      <c r="A63" s="19" t="s">
        <v>208</v>
      </c>
      <c r="B63" s="20" t="s">
        <v>209</v>
      </c>
      <c r="C63" s="19" t="s">
        <v>201</v>
      </c>
      <c r="D63" s="19" t="s">
        <v>18</v>
      </c>
      <c r="E63" s="19" t="s">
        <v>37</v>
      </c>
      <c r="F63" s="19" t="s">
        <v>38</v>
      </c>
      <c r="G63" s="21"/>
      <c r="H63" s="21">
        <v>210000</v>
      </c>
      <c r="I63" s="22">
        <f t="shared" si="4"/>
        <v>2.1000210002100022E-3</v>
      </c>
      <c r="J63" s="22">
        <f t="shared" si="5"/>
        <v>2.1000210002100022E-3</v>
      </c>
      <c r="K63" s="19" t="s">
        <v>39</v>
      </c>
      <c r="L63" s="20" t="s">
        <v>210</v>
      </c>
      <c r="M63" s="26" t="s">
        <v>84</v>
      </c>
    </row>
    <row r="64" spans="1:13">
      <c r="A64" s="16" t="s">
        <v>211</v>
      </c>
      <c r="B64" s="16" t="s">
        <v>212</v>
      </c>
      <c r="C64" s="16"/>
      <c r="D64" s="16"/>
      <c r="E64" s="16"/>
      <c r="F64" s="16"/>
      <c r="G64" s="16"/>
      <c r="H64" s="17">
        <f>SUM(H65:H76)</f>
        <v>34090000</v>
      </c>
      <c r="I64" s="18">
        <f t="shared" si="4"/>
        <v>0.34090340903409033</v>
      </c>
      <c r="J64" s="18">
        <f>J47+I64</f>
        <v>0.69100691006910064</v>
      </c>
      <c r="K64" s="16"/>
      <c r="L64" s="16"/>
      <c r="M64" s="16"/>
    </row>
    <row r="65" spans="1:13" ht="25">
      <c r="A65" s="19" t="s">
        <v>213</v>
      </c>
      <c r="B65" s="20" t="s">
        <v>214</v>
      </c>
      <c r="C65" s="19" t="s">
        <v>215</v>
      </c>
      <c r="D65" s="19" t="s">
        <v>19</v>
      </c>
      <c r="E65" s="19" t="s">
        <v>37</v>
      </c>
      <c r="F65" s="19" t="s">
        <v>38</v>
      </c>
      <c r="G65" s="21"/>
      <c r="H65" s="21">
        <v>102000</v>
      </c>
      <c r="I65" s="22">
        <f t="shared" si="4"/>
        <v>1.020010200102001E-3</v>
      </c>
      <c r="J65" s="22">
        <f t="shared" ref="J65:J76" si="6">I65</f>
        <v>1.020010200102001E-3</v>
      </c>
      <c r="K65" s="19" t="s">
        <v>39</v>
      </c>
      <c r="L65" s="20" t="s">
        <v>100</v>
      </c>
      <c r="M65" s="25" t="s">
        <v>74</v>
      </c>
    </row>
    <row r="66" spans="1:13" ht="25">
      <c r="A66" s="19" t="s">
        <v>216</v>
      </c>
      <c r="B66" s="20" t="s">
        <v>217</v>
      </c>
      <c r="C66" s="19" t="s">
        <v>215</v>
      </c>
      <c r="D66" s="19" t="s">
        <v>19</v>
      </c>
      <c r="E66" s="19" t="s">
        <v>37</v>
      </c>
      <c r="F66" s="19" t="s">
        <v>38</v>
      </c>
      <c r="G66" s="21"/>
      <c r="H66" s="21">
        <v>306000</v>
      </c>
      <c r="I66" s="22">
        <f t="shared" si="4"/>
        <v>3.0600306003060029E-3</v>
      </c>
      <c r="J66" s="22">
        <f t="shared" si="6"/>
        <v>3.0600306003060029E-3</v>
      </c>
      <c r="K66" s="19" t="s">
        <v>39</v>
      </c>
      <c r="L66" s="20" t="s">
        <v>218</v>
      </c>
      <c r="M66" s="25" t="s">
        <v>74</v>
      </c>
    </row>
    <row r="67" spans="1:13" ht="25">
      <c r="A67" s="19" t="s">
        <v>219</v>
      </c>
      <c r="B67" s="20" t="s">
        <v>220</v>
      </c>
      <c r="C67" s="19" t="s">
        <v>215</v>
      </c>
      <c r="D67" s="19" t="s">
        <v>19</v>
      </c>
      <c r="E67" s="19" t="s">
        <v>37</v>
      </c>
      <c r="F67" s="19" t="s">
        <v>38</v>
      </c>
      <c r="G67" s="21"/>
      <c r="H67" s="21">
        <v>1632000</v>
      </c>
      <c r="I67" s="22">
        <f t="shared" si="4"/>
        <v>1.6320163201632015E-2</v>
      </c>
      <c r="J67" s="22">
        <f t="shared" si="6"/>
        <v>1.6320163201632015E-2</v>
      </c>
      <c r="K67" s="19" t="s">
        <v>39</v>
      </c>
      <c r="L67" s="20" t="s">
        <v>221</v>
      </c>
      <c r="M67" s="25" t="s">
        <v>74</v>
      </c>
    </row>
    <row r="68" spans="1:13" ht="37.5">
      <c r="A68" s="19" t="s">
        <v>222</v>
      </c>
      <c r="B68" s="20" t="s">
        <v>223</v>
      </c>
      <c r="C68" s="19" t="s">
        <v>215</v>
      </c>
      <c r="D68" s="19" t="s">
        <v>19</v>
      </c>
      <c r="E68" s="19" t="s">
        <v>37</v>
      </c>
      <c r="F68" s="19" t="s">
        <v>38</v>
      </c>
      <c r="G68" s="21"/>
      <c r="H68" s="21">
        <v>8160000</v>
      </c>
      <c r="I68" s="22">
        <f t="shared" si="4"/>
        <v>8.1600816008160076E-2</v>
      </c>
      <c r="J68" s="22">
        <f t="shared" si="6"/>
        <v>8.1600816008160076E-2</v>
      </c>
      <c r="K68" s="19" t="s">
        <v>39</v>
      </c>
      <c r="L68" s="20" t="s">
        <v>224</v>
      </c>
      <c r="M68" s="26" t="s">
        <v>84</v>
      </c>
    </row>
    <row r="69" spans="1:13" ht="25">
      <c r="A69" s="19" t="s">
        <v>225</v>
      </c>
      <c r="B69" s="20" t="s">
        <v>226</v>
      </c>
      <c r="C69" s="19" t="s">
        <v>227</v>
      </c>
      <c r="D69" s="19" t="s">
        <v>18</v>
      </c>
      <c r="E69" s="19" t="s">
        <v>37</v>
      </c>
      <c r="F69" s="19" t="s">
        <v>38</v>
      </c>
      <c r="G69" s="21"/>
      <c r="H69" s="21">
        <v>335250</v>
      </c>
      <c r="I69" s="22">
        <f t="shared" si="4"/>
        <v>3.3525335253352532E-3</v>
      </c>
      <c r="J69" s="22">
        <f t="shared" si="6"/>
        <v>3.3525335253352532E-3</v>
      </c>
      <c r="K69" s="27" t="s">
        <v>115</v>
      </c>
      <c r="L69" s="20" t="s">
        <v>73</v>
      </c>
      <c r="M69" s="25" t="s">
        <v>74</v>
      </c>
    </row>
    <row r="70" spans="1:13" ht="25">
      <c r="A70" s="19" t="s">
        <v>228</v>
      </c>
      <c r="B70" s="20" t="s">
        <v>229</v>
      </c>
      <c r="C70" s="19" t="s">
        <v>227</v>
      </c>
      <c r="D70" s="19" t="s">
        <v>18</v>
      </c>
      <c r="E70" s="19" t="s">
        <v>37</v>
      </c>
      <c r="F70" s="19" t="s">
        <v>38</v>
      </c>
      <c r="G70" s="21"/>
      <c r="H70" s="21">
        <v>1005750</v>
      </c>
      <c r="I70" s="22">
        <f t="shared" ref="I70:I101" si="7">H70/$H$87</f>
        <v>1.005760057600576E-2</v>
      </c>
      <c r="J70" s="22">
        <f t="shared" si="6"/>
        <v>1.005760057600576E-2</v>
      </c>
      <c r="K70" s="27" t="s">
        <v>115</v>
      </c>
      <c r="L70" s="20" t="s">
        <v>230</v>
      </c>
      <c r="M70" s="25" t="s">
        <v>74</v>
      </c>
    </row>
    <row r="71" spans="1:13" ht="25">
      <c r="A71" s="19" t="s">
        <v>231</v>
      </c>
      <c r="B71" s="20" t="s">
        <v>232</v>
      </c>
      <c r="C71" s="19" t="s">
        <v>227</v>
      </c>
      <c r="D71" s="19" t="s">
        <v>18</v>
      </c>
      <c r="E71" s="19" t="s">
        <v>37</v>
      </c>
      <c r="F71" s="19" t="s">
        <v>38</v>
      </c>
      <c r="G71" s="21"/>
      <c r="H71" s="21">
        <v>5364000</v>
      </c>
      <c r="I71" s="22">
        <f t="shared" si="7"/>
        <v>5.364053640536405E-2</v>
      </c>
      <c r="J71" s="22">
        <f t="shared" si="6"/>
        <v>5.364053640536405E-2</v>
      </c>
      <c r="K71" s="27" t="s">
        <v>115</v>
      </c>
      <c r="L71" s="20" t="s">
        <v>233</v>
      </c>
      <c r="M71" s="25" t="s">
        <v>74</v>
      </c>
    </row>
    <row r="72" spans="1:13" ht="37.5">
      <c r="A72" s="19" t="s">
        <v>234</v>
      </c>
      <c r="B72" s="20" t="s">
        <v>235</v>
      </c>
      <c r="C72" s="19" t="s">
        <v>227</v>
      </c>
      <c r="D72" s="19" t="s">
        <v>18</v>
      </c>
      <c r="E72" s="19" t="s">
        <v>37</v>
      </c>
      <c r="F72" s="19" t="s">
        <v>38</v>
      </c>
      <c r="G72" s="21"/>
      <c r="H72" s="21">
        <v>8195000</v>
      </c>
      <c r="I72" s="22">
        <f t="shared" si="7"/>
        <v>8.1950819508195077E-2</v>
      </c>
      <c r="J72" s="22">
        <f t="shared" si="6"/>
        <v>8.1950819508195077E-2</v>
      </c>
      <c r="K72" s="19" t="s">
        <v>39</v>
      </c>
      <c r="L72" s="20" t="s">
        <v>236</v>
      </c>
      <c r="M72" s="26" t="s">
        <v>84</v>
      </c>
    </row>
    <row r="73" spans="1:13" ht="25">
      <c r="A73" s="19" t="s">
        <v>237</v>
      </c>
      <c r="B73" s="20" t="s">
        <v>238</v>
      </c>
      <c r="C73" s="19" t="s">
        <v>239</v>
      </c>
      <c r="D73" s="19" t="s">
        <v>18</v>
      </c>
      <c r="E73" s="19" t="s">
        <v>37</v>
      </c>
      <c r="F73" s="19" t="s">
        <v>38</v>
      </c>
      <c r="G73" s="21"/>
      <c r="H73" s="21">
        <v>89900</v>
      </c>
      <c r="I73" s="22">
        <f t="shared" si="7"/>
        <v>8.9900899008990088E-4</v>
      </c>
      <c r="J73" s="22">
        <f t="shared" si="6"/>
        <v>8.9900899008990088E-4</v>
      </c>
      <c r="K73" s="19" t="s">
        <v>39</v>
      </c>
      <c r="L73" s="20" t="s">
        <v>73</v>
      </c>
      <c r="M73" s="25" t="s">
        <v>74</v>
      </c>
    </row>
    <row r="74" spans="1:13" ht="25">
      <c r="A74" s="19" t="s">
        <v>240</v>
      </c>
      <c r="B74" s="20" t="s">
        <v>241</v>
      </c>
      <c r="C74" s="19" t="s">
        <v>239</v>
      </c>
      <c r="D74" s="19" t="s">
        <v>18</v>
      </c>
      <c r="E74" s="19" t="s">
        <v>37</v>
      </c>
      <c r="F74" s="19" t="s">
        <v>38</v>
      </c>
      <c r="G74" s="21"/>
      <c r="H74" s="21">
        <v>269700</v>
      </c>
      <c r="I74" s="22">
        <f t="shared" si="7"/>
        <v>2.6970269702697026E-3</v>
      </c>
      <c r="J74" s="22">
        <f t="shared" si="6"/>
        <v>2.6970269702697026E-3</v>
      </c>
      <c r="K74" s="19" t="s">
        <v>39</v>
      </c>
      <c r="L74" s="20" t="s">
        <v>242</v>
      </c>
      <c r="M74" s="25" t="s">
        <v>74</v>
      </c>
    </row>
    <row r="75" spans="1:13" ht="25">
      <c r="A75" s="19" t="s">
        <v>243</v>
      </c>
      <c r="B75" s="20" t="s">
        <v>244</v>
      </c>
      <c r="C75" s="19" t="s">
        <v>239</v>
      </c>
      <c r="D75" s="19" t="s">
        <v>18</v>
      </c>
      <c r="E75" s="19" t="s">
        <v>37</v>
      </c>
      <c r="F75" s="19" t="s">
        <v>38</v>
      </c>
      <c r="G75" s="21"/>
      <c r="H75" s="21">
        <v>1438400</v>
      </c>
      <c r="I75" s="22">
        <f t="shared" si="7"/>
        <v>1.4384143841438414E-2</v>
      </c>
      <c r="J75" s="22">
        <f t="shared" si="6"/>
        <v>1.4384143841438414E-2</v>
      </c>
      <c r="K75" s="19" t="s">
        <v>39</v>
      </c>
      <c r="L75" s="20" t="s">
        <v>245</v>
      </c>
      <c r="M75" s="25" t="s">
        <v>74</v>
      </c>
    </row>
    <row r="76" spans="1:13" ht="50">
      <c r="A76" s="19" t="s">
        <v>246</v>
      </c>
      <c r="B76" s="20" t="s">
        <v>247</v>
      </c>
      <c r="C76" s="19" t="s">
        <v>239</v>
      </c>
      <c r="D76" s="19" t="s">
        <v>18</v>
      </c>
      <c r="E76" s="19" t="s">
        <v>37</v>
      </c>
      <c r="F76" s="19" t="s">
        <v>38</v>
      </c>
      <c r="G76" s="21"/>
      <c r="H76" s="21">
        <v>7192000</v>
      </c>
      <c r="I76" s="22">
        <f t="shared" si="7"/>
        <v>7.1920719207192077E-2</v>
      </c>
      <c r="J76" s="22">
        <f t="shared" si="6"/>
        <v>7.1920719207192077E-2</v>
      </c>
      <c r="K76" s="19" t="s">
        <v>39</v>
      </c>
      <c r="L76" s="20" t="s">
        <v>248</v>
      </c>
      <c r="M76" s="26" t="s">
        <v>84</v>
      </c>
    </row>
    <row r="77" spans="1:13">
      <c r="A77" s="16" t="s">
        <v>249</v>
      </c>
      <c r="B77" s="16" t="s">
        <v>250</v>
      </c>
      <c r="C77" s="16"/>
      <c r="D77" s="16"/>
      <c r="E77" s="16"/>
      <c r="F77" s="16"/>
      <c r="G77" s="16"/>
      <c r="H77" s="17">
        <f>SUM(H78:H85)</f>
        <v>30899000</v>
      </c>
      <c r="I77" s="18">
        <f t="shared" si="7"/>
        <v>0.3089930899308993</v>
      </c>
      <c r="J77" s="18">
        <f>J64+I77</f>
        <v>1</v>
      </c>
      <c r="K77" s="16"/>
      <c r="L77" s="16"/>
      <c r="M77" s="16"/>
    </row>
    <row r="78" spans="1:13" ht="25">
      <c r="A78" s="19" t="s">
        <v>251</v>
      </c>
      <c r="B78" s="20" t="s">
        <v>252</v>
      </c>
      <c r="C78" s="19" t="s">
        <v>253</v>
      </c>
      <c r="D78" s="19" t="s">
        <v>19</v>
      </c>
      <c r="E78" s="19" t="s">
        <v>37</v>
      </c>
      <c r="F78" s="19" t="s">
        <v>38</v>
      </c>
      <c r="G78" s="21"/>
      <c r="H78" s="21">
        <v>492750</v>
      </c>
      <c r="I78" s="22">
        <f t="shared" si="7"/>
        <v>4.9275492754927552E-3</v>
      </c>
      <c r="J78" s="22">
        <f t="shared" ref="J78:J85" si="8">I78</f>
        <v>4.9275492754927552E-3</v>
      </c>
      <c r="K78" s="27" t="s">
        <v>115</v>
      </c>
      <c r="L78" s="20" t="s">
        <v>100</v>
      </c>
      <c r="M78" s="25" t="s">
        <v>74</v>
      </c>
    </row>
    <row r="79" spans="1:13" ht="25">
      <c r="A79" s="19" t="s">
        <v>254</v>
      </c>
      <c r="B79" s="20" t="s">
        <v>255</v>
      </c>
      <c r="C79" s="19" t="s">
        <v>253</v>
      </c>
      <c r="D79" s="19" t="s">
        <v>19</v>
      </c>
      <c r="E79" s="19" t="s">
        <v>37</v>
      </c>
      <c r="F79" s="19" t="s">
        <v>38</v>
      </c>
      <c r="G79" s="21"/>
      <c r="H79" s="21">
        <v>1478250</v>
      </c>
      <c r="I79" s="22">
        <f t="shared" si="7"/>
        <v>1.4782647826478265E-2</v>
      </c>
      <c r="J79" s="22">
        <f t="shared" si="8"/>
        <v>1.4782647826478265E-2</v>
      </c>
      <c r="K79" s="27" t="s">
        <v>115</v>
      </c>
      <c r="L79" s="20" t="s">
        <v>256</v>
      </c>
      <c r="M79" s="25" t="s">
        <v>74</v>
      </c>
    </row>
    <row r="80" spans="1:13" ht="25">
      <c r="A80" s="19" t="s">
        <v>257</v>
      </c>
      <c r="B80" s="20" t="s">
        <v>258</v>
      </c>
      <c r="C80" s="19" t="s">
        <v>253</v>
      </c>
      <c r="D80" s="19" t="s">
        <v>19</v>
      </c>
      <c r="E80" s="19" t="s">
        <v>37</v>
      </c>
      <c r="F80" s="19" t="s">
        <v>38</v>
      </c>
      <c r="G80" s="21"/>
      <c r="H80" s="21">
        <v>7884000</v>
      </c>
      <c r="I80" s="22">
        <f t="shared" si="7"/>
        <v>7.8840788407884083E-2</v>
      </c>
      <c r="J80" s="22">
        <f t="shared" si="8"/>
        <v>7.8840788407884083E-2</v>
      </c>
      <c r="K80" s="27" t="s">
        <v>115</v>
      </c>
      <c r="L80" s="20" t="s">
        <v>259</v>
      </c>
      <c r="M80" s="25" t="s">
        <v>74</v>
      </c>
    </row>
    <row r="81" spans="1:13" ht="37.5">
      <c r="A81" s="19" t="s">
        <v>260</v>
      </c>
      <c r="B81" s="20" t="s">
        <v>261</v>
      </c>
      <c r="C81" s="19" t="s">
        <v>253</v>
      </c>
      <c r="D81" s="19" t="s">
        <v>19</v>
      </c>
      <c r="E81" s="19" t="s">
        <v>37</v>
      </c>
      <c r="F81" s="19" t="s">
        <v>38</v>
      </c>
      <c r="G81" s="21"/>
      <c r="H81" s="21">
        <v>12045000</v>
      </c>
      <c r="I81" s="22">
        <f t="shared" si="7"/>
        <v>0.12045120451204512</v>
      </c>
      <c r="J81" s="22">
        <f t="shared" si="8"/>
        <v>0.12045120451204512</v>
      </c>
      <c r="K81" s="19" t="s">
        <v>39</v>
      </c>
      <c r="L81" s="20" t="s">
        <v>262</v>
      </c>
      <c r="M81" s="26" t="s">
        <v>84</v>
      </c>
    </row>
    <row r="82" spans="1:13" ht="25">
      <c r="A82" s="19" t="s">
        <v>263</v>
      </c>
      <c r="B82" s="20" t="s">
        <v>264</v>
      </c>
      <c r="C82" s="19" t="s">
        <v>265</v>
      </c>
      <c r="D82" s="19" t="s">
        <v>18</v>
      </c>
      <c r="E82" s="19" t="s">
        <v>37</v>
      </c>
      <c r="F82" s="19" t="s">
        <v>38</v>
      </c>
      <c r="G82" s="21"/>
      <c r="H82" s="21">
        <v>202477.5</v>
      </c>
      <c r="I82" s="22">
        <f t="shared" si="7"/>
        <v>2.0247952479524795E-3</v>
      </c>
      <c r="J82" s="22">
        <f t="shared" si="8"/>
        <v>2.0247952479524795E-3</v>
      </c>
      <c r="K82" s="27" t="s">
        <v>115</v>
      </c>
      <c r="L82" s="20" t="s">
        <v>73</v>
      </c>
      <c r="M82" s="25" t="s">
        <v>74</v>
      </c>
    </row>
    <row r="83" spans="1:13" ht="25">
      <c r="A83" s="19" t="s">
        <v>266</v>
      </c>
      <c r="B83" s="20" t="s">
        <v>267</v>
      </c>
      <c r="C83" s="19" t="s">
        <v>265</v>
      </c>
      <c r="D83" s="19" t="s">
        <v>18</v>
      </c>
      <c r="E83" s="19" t="s">
        <v>37</v>
      </c>
      <c r="F83" s="19" t="s">
        <v>38</v>
      </c>
      <c r="G83" s="21"/>
      <c r="H83" s="21">
        <v>607432.5</v>
      </c>
      <c r="I83" s="22">
        <f t="shared" si="7"/>
        <v>6.0743857438574382E-3</v>
      </c>
      <c r="J83" s="22">
        <f t="shared" si="8"/>
        <v>6.0743857438574382E-3</v>
      </c>
      <c r="K83" s="27" t="s">
        <v>115</v>
      </c>
      <c r="L83" s="20" t="s">
        <v>268</v>
      </c>
      <c r="M83" s="25" t="s">
        <v>74</v>
      </c>
    </row>
    <row r="84" spans="1:13" ht="25">
      <c r="A84" s="19" t="s">
        <v>269</v>
      </c>
      <c r="B84" s="20" t="s">
        <v>270</v>
      </c>
      <c r="C84" s="19" t="s">
        <v>265</v>
      </c>
      <c r="D84" s="19" t="s">
        <v>18</v>
      </c>
      <c r="E84" s="19" t="s">
        <v>37</v>
      </c>
      <c r="F84" s="19" t="s">
        <v>38</v>
      </c>
      <c r="G84" s="21"/>
      <c r="H84" s="21">
        <v>3239640</v>
      </c>
      <c r="I84" s="22">
        <f t="shared" si="7"/>
        <v>3.2396723967239673E-2</v>
      </c>
      <c r="J84" s="22">
        <f t="shared" si="8"/>
        <v>3.2396723967239673E-2</v>
      </c>
      <c r="K84" s="27" t="s">
        <v>115</v>
      </c>
      <c r="L84" s="20" t="s">
        <v>271</v>
      </c>
      <c r="M84" s="25" t="s">
        <v>74</v>
      </c>
    </row>
    <row r="85" spans="1:13" ht="62.5">
      <c r="A85" s="19" t="s">
        <v>272</v>
      </c>
      <c r="B85" s="20" t="s">
        <v>273</v>
      </c>
      <c r="C85" s="19" t="s">
        <v>265</v>
      </c>
      <c r="D85" s="19" t="s">
        <v>18</v>
      </c>
      <c r="E85" s="19" t="s">
        <v>37</v>
      </c>
      <c r="F85" s="19" t="s">
        <v>38</v>
      </c>
      <c r="G85" s="21"/>
      <c r="H85" s="21">
        <v>4949450</v>
      </c>
      <c r="I85" s="22">
        <f t="shared" si="7"/>
        <v>4.9494994949949501E-2</v>
      </c>
      <c r="J85" s="22">
        <f t="shared" si="8"/>
        <v>4.9494994949949501E-2</v>
      </c>
      <c r="K85" s="19" t="s">
        <v>39</v>
      </c>
      <c r="L85" s="20" t="s">
        <v>274</v>
      </c>
      <c r="M85" s="26" t="s">
        <v>84</v>
      </c>
    </row>
    <row r="87" spans="1:13">
      <c r="A87" s="28"/>
      <c r="B87" s="28" t="s">
        <v>275</v>
      </c>
      <c r="C87" s="28"/>
      <c r="D87" s="28"/>
      <c r="E87" s="28"/>
      <c r="F87" s="28"/>
      <c r="G87" s="28"/>
      <c r="H87" s="29">
        <f>H6+H10+H17+H30+H47+H64+H77</f>
        <v>99999000</v>
      </c>
      <c r="I87" s="28"/>
      <c r="J87" s="28"/>
      <c r="K87" s="28"/>
      <c r="L87" s="28"/>
      <c r="M87" s="28"/>
    </row>
    <row r="88" spans="1:13">
      <c r="A88" s="28"/>
      <c r="B88" s="28" t="s">
        <v>3</v>
      </c>
      <c r="C88" s="28"/>
      <c r="D88" s="28"/>
      <c r="E88" s="28"/>
      <c r="F88" s="28"/>
      <c r="G88" s="28"/>
      <c r="H88" s="29">
        <f>H87*0.15</f>
        <v>14999850</v>
      </c>
      <c r="I88" s="28"/>
      <c r="J88" s="28"/>
      <c r="K88" s="28"/>
      <c r="L88" s="28"/>
      <c r="M88" s="28"/>
    </row>
    <row r="89" spans="1:13">
      <c r="A89" s="28"/>
      <c r="B89" s="28" t="s">
        <v>276</v>
      </c>
      <c r="C89" s="28"/>
      <c r="D89" s="28"/>
      <c r="E89" s="28"/>
      <c r="F89" s="28"/>
      <c r="G89" s="28"/>
      <c r="H89" s="29">
        <f>H87+H88</f>
        <v>114998850</v>
      </c>
      <c r="I89" s="28"/>
      <c r="J89" s="28"/>
      <c r="K89" s="28"/>
      <c r="L89" s="28"/>
      <c r="M89" s="28"/>
    </row>
    <row r="91" spans="1:13" ht="15.5">
      <c r="A91" s="30" t="s">
        <v>277</v>
      </c>
    </row>
    <row r="92" spans="1:13" ht="26">
      <c r="A92" s="15" t="s">
        <v>278</v>
      </c>
      <c r="B92" s="15" t="s">
        <v>279</v>
      </c>
      <c r="C92" s="15" t="s">
        <v>9</v>
      </c>
      <c r="D92" s="15" t="s">
        <v>28</v>
      </c>
    </row>
    <row r="93" spans="1:13">
      <c r="A93" s="19" t="s">
        <v>280</v>
      </c>
      <c r="B93" s="19" t="s">
        <v>281</v>
      </c>
      <c r="C93" s="21">
        <f>SUMIF($M$6:$M$85,"General",$H$6:$H$85)</f>
        <v>4900000</v>
      </c>
      <c r="D93" s="22">
        <f>C93/$C$97</f>
        <v>4.9000490004900046E-2</v>
      </c>
    </row>
    <row r="94" spans="1:13">
      <c r="A94" s="19" t="s">
        <v>282</v>
      </c>
      <c r="B94" s="19" t="s">
        <v>283</v>
      </c>
      <c r="C94" s="21">
        <f>SUMIF($M$6:$M$85,"Engineering",$H$6:$H$85)</f>
        <v>4888999.9999999944</v>
      </c>
      <c r="D94" s="22">
        <f>C94/$C$97</f>
        <v>4.8890488904888993E-2</v>
      </c>
    </row>
    <row r="95" spans="1:13">
      <c r="A95" s="19" t="s">
        <v>284</v>
      </c>
      <c r="B95" s="19" t="s">
        <v>285</v>
      </c>
      <c r="C95" s="21">
        <f>SUMIF($M$6:$M$85,"Procurement",$H$6:$H$85)</f>
        <v>30409750</v>
      </c>
      <c r="D95" s="22">
        <f>C95/$C$97</f>
        <v>0.30410054100541006</v>
      </c>
    </row>
    <row r="96" spans="1:13">
      <c r="A96" s="19" t="s">
        <v>286</v>
      </c>
      <c r="B96" s="19" t="s">
        <v>287</v>
      </c>
      <c r="C96" s="21">
        <f>SUMIF($M$6:$M$85,"Construction",$H$6:$H$85)</f>
        <v>59800250</v>
      </c>
      <c r="D96" s="22">
        <f>C96/$C$97</f>
        <v>0.5980084800848009</v>
      </c>
    </row>
    <row r="97" spans="1:4">
      <c r="A97" s="28"/>
      <c r="B97" s="28" t="s">
        <v>275</v>
      </c>
      <c r="C97" s="29">
        <f>C93+C94+C95+C96</f>
        <v>99999000</v>
      </c>
      <c r="D97" s="28"/>
    </row>
  </sheetData>
  <mergeCells count="3">
    <mergeCell ref="F1:M2"/>
    <mergeCell ref="A3:M3"/>
    <mergeCell ref="A4:M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86"/>
  <sheetViews>
    <sheetView showGridLines="0" zoomScaleNormal="100" workbookViewId="0">
      <pane xSplit="10" ySplit="5" topLeftCell="K6" activePane="bottomRight" state="frozen"/>
      <selection pane="topRight" activeCell="K1" sqref="K1"/>
      <selection pane="bottomLeft" activeCell="A6" sqref="A6"/>
      <selection pane="bottomRight"/>
    </sheetView>
  </sheetViews>
  <sheetFormatPr defaultColWidth="8.6328125" defaultRowHeight="14.5"/>
  <cols>
    <col min="1" max="1" width="10" customWidth="1"/>
    <col min="2" max="2" width="40" customWidth="1"/>
    <col min="3" max="3" width="10" customWidth="1"/>
    <col min="4" max="4" width="8" customWidth="1"/>
    <col min="5" max="5" width="14" customWidth="1"/>
    <col min="6" max="6" width="11" customWidth="1"/>
    <col min="7" max="7" width="10" customWidth="1"/>
    <col min="8" max="8" width="12" customWidth="1"/>
    <col min="9" max="9" width="10" customWidth="1"/>
    <col min="10" max="10" width="40" customWidth="1"/>
    <col min="11" max="36" width="8.453125" customWidth="1"/>
    <col min="37" max="37" width="10" customWidth="1"/>
    <col min="38" max="65" width="13" hidden="1" customWidth="1"/>
  </cols>
  <sheetData>
    <row r="1" spans="1:65" ht="27.75" customHeight="1">
      <c r="A1" s="9"/>
      <c r="B1" s="9"/>
      <c r="C1" s="9"/>
      <c r="D1" s="9"/>
      <c r="E1" s="9"/>
      <c r="F1" s="8" t="s">
        <v>288</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row>
    <row r="2" spans="1:65" ht="9.75" customHeight="1">
      <c r="A2" s="9"/>
      <c r="B2" s="9"/>
      <c r="C2" s="9"/>
      <c r="D2" s="9"/>
      <c r="E2" s="9"/>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row>
    <row r="3" spans="1:65" ht="6" customHeight="1">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row>
    <row r="4" spans="1:65">
      <c r="A4" s="6" t="s">
        <v>289</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row>
    <row r="5" spans="1:65" ht="21.75" customHeight="1">
      <c r="A5" s="15" t="s">
        <v>22</v>
      </c>
      <c r="B5" s="15" t="s">
        <v>23</v>
      </c>
      <c r="C5" s="15" t="s">
        <v>17</v>
      </c>
      <c r="D5" s="15" t="s">
        <v>290</v>
      </c>
      <c r="E5" s="15" t="s">
        <v>9</v>
      </c>
      <c r="F5" s="15" t="s">
        <v>291</v>
      </c>
      <c r="G5" s="15" t="s">
        <v>292</v>
      </c>
      <c r="H5" s="15" t="s">
        <v>293</v>
      </c>
      <c r="I5" s="15" t="s">
        <v>30</v>
      </c>
      <c r="J5" s="15" t="s">
        <v>31</v>
      </c>
      <c r="K5" s="15" t="s">
        <v>294</v>
      </c>
      <c r="L5" s="15" t="s">
        <v>295</v>
      </c>
      <c r="M5" s="15" t="s">
        <v>296</v>
      </c>
      <c r="N5" s="15" t="s">
        <v>297</v>
      </c>
      <c r="O5" s="15" t="s">
        <v>298</v>
      </c>
      <c r="P5" s="15" t="s">
        <v>299</v>
      </c>
      <c r="Q5" s="15" t="s">
        <v>300</v>
      </c>
      <c r="R5" s="15" t="s">
        <v>301</v>
      </c>
      <c r="S5" s="15" t="s">
        <v>302</v>
      </c>
      <c r="T5" s="15" t="s">
        <v>303</v>
      </c>
      <c r="U5" s="15" t="s">
        <v>304</v>
      </c>
      <c r="V5" s="15" t="s">
        <v>305</v>
      </c>
      <c r="W5" s="15" t="s">
        <v>306</v>
      </c>
      <c r="X5" s="15" t="s">
        <v>307</v>
      </c>
      <c r="Y5" s="15" t="s">
        <v>308</v>
      </c>
      <c r="Z5" s="15" t="s">
        <v>309</v>
      </c>
      <c r="AA5" s="15" t="s">
        <v>310</v>
      </c>
      <c r="AB5" s="15" t="s">
        <v>311</v>
      </c>
      <c r="AC5" s="15" t="s">
        <v>312</v>
      </c>
      <c r="AD5" s="15" t="s">
        <v>313</v>
      </c>
      <c r="AE5" s="15" t="s">
        <v>314</v>
      </c>
      <c r="AF5" s="15" t="s">
        <v>315</v>
      </c>
      <c r="AG5" s="15" t="s">
        <v>316</v>
      </c>
      <c r="AH5" s="15" t="s">
        <v>317</v>
      </c>
      <c r="AI5" s="15" t="s">
        <v>318</v>
      </c>
      <c r="AJ5" s="15" t="s">
        <v>319</v>
      </c>
      <c r="AK5" s="15" t="s">
        <v>320</v>
      </c>
      <c r="AL5" s="9"/>
      <c r="AM5" s="31" t="s">
        <v>321</v>
      </c>
    </row>
    <row r="6" spans="1:65">
      <c r="A6" s="19" t="s">
        <v>35</v>
      </c>
      <c r="B6" s="19" t="s">
        <v>34</v>
      </c>
      <c r="C6" s="19" t="s">
        <v>18</v>
      </c>
      <c r="D6" s="23" t="s">
        <v>322</v>
      </c>
      <c r="E6" s="21">
        <v>4900000</v>
      </c>
      <c r="F6" s="19">
        <v>1</v>
      </c>
      <c r="G6" s="19">
        <v>26</v>
      </c>
      <c r="H6" s="19">
        <f t="shared" ref="H6:H37" si="0">G6-F6+1</f>
        <v>26</v>
      </c>
      <c r="I6" s="19" t="s">
        <v>39</v>
      </c>
      <c r="J6" s="32" t="s">
        <v>40</v>
      </c>
      <c r="K6" s="33">
        <f t="shared" ref="K6:AJ6" si="1">IF(AND(K$79&gt;=$F6,K$79&lt;=$G6),$E6/$H6,0)</f>
        <v>188461.53846153847</v>
      </c>
      <c r="L6" s="33">
        <f t="shared" si="1"/>
        <v>188461.53846153847</v>
      </c>
      <c r="M6" s="33">
        <f t="shared" si="1"/>
        <v>188461.53846153847</v>
      </c>
      <c r="N6" s="33">
        <f t="shared" si="1"/>
        <v>188461.53846153847</v>
      </c>
      <c r="O6" s="33">
        <f t="shared" si="1"/>
        <v>188461.53846153847</v>
      </c>
      <c r="P6" s="33">
        <f t="shared" si="1"/>
        <v>188461.53846153847</v>
      </c>
      <c r="Q6" s="33">
        <f t="shared" si="1"/>
        <v>188461.53846153847</v>
      </c>
      <c r="R6" s="33">
        <f t="shared" si="1"/>
        <v>188461.53846153847</v>
      </c>
      <c r="S6" s="33">
        <f t="shared" si="1"/>
        <v>188461.53846153847</v>
      </c>
      <c r="T6" s="33">
        <f t="shared" si="1"/>
        <v>188461.53846153847</v>
      </c>
      <c r="U6" s="33">
        <f t="shared" si="1"/>
        <v>188461.53846153847</v>
      </c>
      <c r="V6" s="33">
        <f t="shared" si="1"/>
        <v>188461.53846153847</v>
      </c>
      <c r="W6" s="33">
        <f t="shared" si="1"/>
        <v>188461.53846153847</v>
      </c>
      <c r="X6" s="33">
        <f t="shared" si="1"/>
        <v>188461.53846153847</v>
      </c>
      <c r="Y6" s="33">
        <f t="shared" si="1"/>
        <v>188461.53846153847</v>
      </c>
      <c r="Z6" s="33">
        <f t="shared" si="1"/>
        <v>188461.53846153847</v>
      </c>
      <c r="AA6" s="33">
        <f t="shared" si="1"/>
        <v>188461.53846153847</v>
      </c>
      <c r="AB6" s="33">
        <f t="shared" si="1"/>
        <v>188461.53846153847</v>
      </c>
      <c r="AC6" s="33">
        <f t="shared" si="1"/>
        <v>188461.53846153847</v>
      </c>
      <c r="AD6" s="33">
        <f t="shared" si="1"/>
        <v>188461.53846153847</v>
      </c>
      <c r="AE6" s="33">
        <f t="shared" si="1"/>
        <v>188461.53846153847</v>
      </c>
      <c r="AF6" s="33">
        <f t="shared" si="1"/>
        <v>188461.53846153847</v>
      </c>
      <c r="AG6" s="33">
        <f t="shared" si="1"/>
        <v>188461.53846153847</v>
      </c>
      <c r="AH6" s="33">
        <f t="shared" si="1"/>
        <v>188461.53846153847</v>
      </c>
      <c r="AI6" s="33">
        <f t="shared" si="1"/>
        <v>188461.53846153847</v>
      </c>
      <c r="AJ6" s="33">
        <f t="shared" si="1"/>
        <v>188461.53846153847</v>
      </c>
      <c r="AK6" s="14">
        <f t="shared" ref="AK6:AK37" si="2">SUM(K6:AJ6)-E6</f>
        <v>0</v>
      </c>
      <c r="AM6">
        <f t="shared" ref="AM6:AM37" si="3">IF(AND(K$79&gt;=$F6,K$79&lt;=$G6),(($G6-$F6)/2-ABS(K$79-($F6+$G6)/2))+1,0)</f>
        <v>1</v>
      </c>
      <c r="AN6">
        <f t="shared" ref="AN6:AN37" si="4">IF(AND(L$79&gt;=$F6,L$79&lt;=$G6),(($G6-$F6)/2-ABS(L$79-($F6+$G6)/2))+1,0)</f>
        <v>2</v>
      </c>
      <c r="AO6">
        <f t="shared" ref="AO6:AO37" si="5">IF(AND(M$79&gt;=$F6,M$79&lt;=$G6),(($G6-$F6)/2-ABS(M$79-($F6+$G6)/2))+1,0)</f>
        <v>3</v>
      </c>
      <c r="AP6">
        <f t="shared" ref="AP6:AP37" si="6">IF(AND(N$79&gt;=$F6,N$79&lt;=$G6),(($G6-$F6)/2-ABS(N$79-($F6+$G6)/2))+1,0)</f>
        <v>4</v>
      </c>
      <c r="AQ6">
        <f t="shared" ref="AQ6:AQ37" si="7">IF(AND(O$79&gt;=$F6,O$79&lt;=$G6),(($G6-$F6)/2-ABS(O$79-($F6+$G6)/2))+1,0)</f>
        <v>5</v>
      </c>
      <c r="AR6">
        <f t="shared" ref="AR6:AR37" si="8">IF(AND(P$79&gt;=$F6,P$79&lt;=$G6),(($G6-$F6)/2-ABS(P$79-($F6+$G6)/2))+1,0)</f>
        <v>6</v>
      </c>
      <c r="AS6">
        <f t="shared" ref="AS6:AS37" si="9">IF(AND(Q$79&gt;=$F6,Q$79&lt;=$G6),(($G6-$F6)/2-ABS(Q$79-($F6+$G6)/2))+1,0)</f>
        <v>7</v>
      </c>
      <c r="AT6">
        <f t="shared" ref="AT6:AT37" si="10">IF(AND(R$79&gt;=$F6,R$79&lt;=$G6),(($G6-$F6)/2-ABS(R$79-($F6+$G6)/2))+1,0)</f>
        <v>8</v>
      </c>
      <c r="AU6">
        <f t="shared" ref="AU6:AU37" si="11">IF(AND(S$79&gt;=$F6,S$79&lt;=$G6),(($G6-$F6)/2-ABS(S$79-($F6+$G6)/2))+1,0)</f>
        <v>9</v>
      </c>
      <c r="AV6">
        <f t="shared" ref="AV6:AV37" si="12">IF(AND(T$79&gt;=$F6,T$79&lt;=$G6),(($G6-$F6)/2-ABS(T$79-($F6+$G6)/2))+1,0)</f>
        <v>10</v>
      </c>
      <c r="AW6">
        <f t="shared" ref="AW6:AW37" si="13">IF(AND(U$79&gt;=$F6,U$79&lt;=$G6),(($G6-$F6)/2-ABS(U$79-($F6+$G6)/2))+1,0)</f>
        <v>11</v>
      </c>
      <c r="AX6">
        <f t="shared" ref="AX6:AX37" si="14">IF(AND(V$79&gt;=$F6,V$79&lt;=$G6),(($G6-$F6)/2-ABS(V$79-($F6+$G6)/2))+1,0)</f>
        <v>12</v>
      </c>
      <c r="AY6">
        <f t="shared" ref="AY6:AY37" si="15">IF(AND(W$79&gt;=$F6,W$79&lt;=$G6),(($G6-$F6)/2-ABS(W$79-($F6+$G6)/2))+1,0)</f>
        <v>13</v>
      </c>
      <c r="AZ6">
        <f t="shared" ref="AZ6:AZ37" si="16">IF(AND(X$79&gt;=$F6,X$79&lt;=$G6),(($G6-$F6)/2-ABS(X$79-($F6+$G6)/2))+1,0)</f>
        <v>13</v>
      </c>
      <c r="BA6">
        <f t="shared" ref="BA6:BA37" si="17">IF(AND(Y$79&gt;=$F6,Y$79&lt;=$G6),(($G6-$F6)/2-ABS(Y$79-($F6+$G6)/2))+1,0)</f>
        <v>12</v>
      </c>
      <c r="BB6">
        <f t="shared" ref="BB6:BB37" si="18">IF(AND(Z$79&gt;=$F6,Z$79&lt;=$G6),(($G6-$F6)/2-ABS(Z$79-($F6+$G6)/2))+1,0)</f>
        <v>11</v>
      </c>
      <c r="BC6">
        <f t="shared" ref="BC6:BC37" si="19">IF(AND(AA$79&gt;=$F6,AA$79&lt;=$G6),(($G6-$F6)/2-ABS(AA$79-($F6+$G6)/2))+1,0)</f>
        <v>10</v>
      </c>
      <c r="BD6">
        <f t="shared" ref="BD6:BD37" si="20">IF(AND(AB$79&gt;=$F6,AB$79&lt;=$G6),(($G6-$F6)/2-ABS(AB$79-($F6+$G6)/2))+1,0)</f>
        <v>9</v>
      </c>
      <c r="BE6">
        <f t="shared" ref="BE6:BE37" si="21">IF(AND(AC$79&gt;=$F6,AC$79&lt;=$G6),(($G6-$F6)/2-ABS(AC$79-($F6+$G6)/2))+1,0)</f>
        <v>8</v>
      </c>
      <c r="BF6">
        <f t="shared" ref="BF6:BF37" si="22">IF(AND(AD$79&gt;=$F6,AD$79&lt;=$G6),(($G6-$F6)/2-ABS(AD$79-($F6+$G6)/2))+1,0)</f>
        <v>7</v>
      </c>
      <c r="BG6">
        <f t="shared" ref="BG6:BG37" si="23">IF(AND(AE$79&gt;=$F6,AE$79&lt;=$G6),(($G6-$F6)/2-ABS(AE$79-($F6+$G6)/2))+1,0)</f>
        <v>6</v>
      </c>
      <c r="BH6">
        <f t="shared" ref="BH6:BH37" si="24">IF(AND(AF$79&gt;=$F6,AF$79&lt;=$G6),(($G6-$F6)/2-ABS(AF$79-($F6+$G6)/2))+1,0)</f>
        <v>5</v>
      </c>
      <c r="BI6">
        <f t="shared" ref="BI6:BI37" si="25">IF(AND(AG$79&gt;=$F6,AG$79&lt;=$G6),(($G6-$F6)/2-ABS(AG$79-($F6+$G6)/2))+1,0)</f>
        <v>4</v>
      </c>
      <c r="BJ6">
        <f t="shared" ref="BJ6:BJ37" si="26">IF(AND(AH$79&gt;=$F6,AH$79&lt;=$G6),(($G6-$F6)/2-ABS(AH$79-($F6+$G6)/2))+1,0)</f>
        <v>3</v>
      </c>
      <c r="BK6">
        <f t="shared" ref="BK6:BK37" si="27">IF(AND(AI$79&gt;=$F6,AI$79&lt;=$G6),(($G6-$F6)/2-ABS(AI$79-($F6+$G6)/2))+1,0)</f>
        <v>2</v>
      </c>
      <c r="BL6">
        <f t="shared" ref="BL6:BL37" si="28">IF(AND(AJ$79&gt;=$F6,AJ$79&lt;=$G6),(($G6-$F6)/2-ABS(AJ$79-($F6+$G6)/2))+1,0)</f>
        <v>1</v>
      </c>
      <c r="BM6">
        <f t="shared" ref="BM6:BM37" si="29">SUM(AM6:BL6)</f>
        <v>182</v>
      </c>
    </row>
    <row r="7" spans="1:65">
      <c r="A7" s="19" t="s">
        <v>42</v>
      </c>
      <c r="B7" s="19" t="s">
        <v>323</v>
      </c>
      <c r="C7" s="19" t="s">
        <v>18</v>
      </c>
      <c r="D7" s="23" t="s">
        <v>322</v>
      </c>
      <c r="E7" s="21">
        <v>0</v>
      </c>
      <c r="F7" s="19">
        <v>1</v>
      </c>
      <c r="G7" s="19">
        <v>1</v>
      </c>
      <c r="H7" s="19">
        <f t="shared" si="0"/>
        <v>1</v>
      </c>
      <c r="I7" s="19" t="s">
        <v>39</v>
      </c>
      <c r="J7" s="32" t="s">
        <v>40</v>
      </c>
      <c r="K7" s="33">
        <f t="shared" ref="K7:AJ7" si="30">IF(AND(K$79&gt;=$F7,K$79&lt;=$G7),AM7/$BM$7*$E7,0)</f>
        <v>0</v>
      </c>
      <c r="L7" s="33">
        <f t="shared" si="30"/>
        <v>0</v>
      </c>
      <c r="M7" s="33">
        <f t="shared" si="30"/>
        <v>0</v>
      </c>
      <c r="N7" s="33">
        <f t="shared" si="30"/>
        <v>0</v>
      </c>
      <c r="O7" s="33">
        <f t="shared" si="30"/>
        <v>0</v>
      </c>
      <c r="P7" s="33">
        <f t="shared" si="30"/>
        <v>0</v>
      </c>
      <c r="Q7" s="33">
        <f t="shared" si="30"/>
        <v>0</v>
      </c>
      <c r="R7" s="33">
        <f t="shared" si="30"/>
        <v>0</v>
      </c>
      <c r="S7" s="33">
        <f t="shared" si="30"/>
        <v>0</v>
      </c>
      <c r="T7" s="33">
        <f t="shared" si="30"/>
        <v>0</v>
      </c>
      <c r="U7" s="33">
        <f t="shared" si="30"/>
        <v>0</v>
      </c>
      <c r="V7" s="33">
        <f t="shared" si="30"/>
        <v>0</v>
      </c>
      <c r="W7" s="33">
        <f t="shared" si="30"/>
        <v>0</v>
      </c>
      <c r="X7" s="33">
        <f t="shared" si="30"/>
        <v>0</v>
      </c>
      <c r="Y7" s="33">
        <f t="shared" si="30"/>
        <v>0</v>
      </c>
      <c r="Z7" s="33">
        <f t="shared" si="30"/>
        <v>0</v>
      </c>
      <c r="AA7" s="33">
        <f t="shared" si="30"/>
        <v>0</v>
      </c>
      <c r="AB7" s="33">
        <f t="shared" si="30"/>
        <v>0</v>
      </c>
      <c r="AC7" s="33">
        <f t="shared" si="30"/>
        <v>0</v>
      </c>
      <c r="AD7" s="33">
        <f t="shared" si="30"/>
        <v>0</v>
      </c>
      <c r="AE7" s="33">
        <f t="shared" si="30"/>
        <v>0</v>
      </c>
      <c r="AF7" s="33">
        <f t="shared" si="30"/>
        <v>0</v>
      </c>
      <c r="AG7" s="33">
        <f t="shared" si="30"/>
        <v>0</v>
      </c>
      <c r="AH7" s="33">
        <f t="shared" si="30"/>
        <v>0</v>
      </c>
      <c r="AI7" s="33">
        <f t="shared" si="30"/>
        <v>0</v>
      </c>
      <c r="AJ7" s="33">
        <f t="shared" si="30"/>
        <v>0</v>
      </c>
      <c r="AK7" s="14">
        <f t="shared" si="2"/>
        <v>0</v>
      </c>
      <c r="AM7">
        <f t="shared" si="3"/>
        <v>1</v>
      </c>
      <c r="AN7">
        <f t="shared" si="4"/>
        <v>0</v>
      </c>
      <c r="AO7">
        <f t="shared" si="5"/>
        <v>0</v>
      </c>
      <c r="AP7">
        <f t="shared" si="6"/>
        <v>0</v>
      </c>
      <c r="AQ7">
        <f t="shared" si="7"/>
        <v>0</v>
      </c>
      <c r="AR7">
        <f t="shared" si="8"/>
        <v>0</v>
      </c>
      <c r="AS7">
        <f t="shared" si="9"/>
        <v>0</v>
      </c>
      <c r="AT7">
        <f t="shared" si="10"/>
        <v>0</v>
      </c>
      <c r="AU7">
        <f t="shared" si="11"/>
        <v>0</v>
      </c>
      <c r="AV7">
        <f t="shared" si="12"/>
        <v>0</v>
      </c>
      <c r="AW7">
        <f t="shared" si="13"/>
        <v>0</v>
      </c>
      <c r="AX7">
        <f t="shared" si="14"/>
        <v>0</v>
      </c>
      <c r="AY7">
        <f t="shared" si="15"/>
        <v>0</v>
      </c>
      <c r="AZ7">
        <f t="shared" si="16"/>
        <v>0</v>
      </c>
      <c r="BA7">
        <f t="shared" si="17"/>
        <v>0</v>
      </c>
      <c r="BB7">
        <f t="shared" si="18"/>
        <v>0</v>
      </c>
      <c r="BC7">
        <f t="shared" si="19"/>
        <v>0</v>
      </c>
      <c r="BD7">
        <f t="shared" si="20"/>
        <v>0</v>
      </c>
      <c r="BE7">
        <f t="shared" si="21"/>
        <v>0</v>
      </c>
      <c r="BF7">
        <f t="shared" si="22"/>
        <v>0</v>
      </c>
      <c r="BG7">
        <f t="shared" si="23"/>
        <v>0</v>
      </c>
      <c r="BH7">
        <f t="shared" si="24"/>
        <v>0</v>
      </c>
      <c r="BI7">
        <f t="shared" si="25"/>
        <v>0</v>
      </c>
      <c r="BJ7">
        <f t="shared" si="26"/>
        <v>0</v>
      </c>
      <c r="BK7">
        <f t="shared" si="27"/>
        <v>0</v>
      </c>
      <c r="BL7">
        <f t="shared" si="28"/>
        <v>0</v>
      </c>
      <c r="BM7">
        <f t="shared" si="29"/>
        <v>1</v>
      </c>
    </row>
    <row r="8" spans="1:65">
      <c r="A8" s="19" t="s">
        <v>44</v>
      </c>
      <c r="B8" s="19" t="s">
        <v>324</v>
      </c>
      <c r="C8" s="19" t="s">
        <v>18</v>
      </c>
      <c r="D8" s="23" t="s">
        <v>322</v>
      </c>
      <c r="E8" s="21">
        <v>0</v>
      </c>
      <c r="F8" s="19">
        <v>12</v>
      </c>
      <c r="G8" s="19">
        <v>12</v>
      </c>
      <c r="H8" s="19">
        <f t="shared" si="0"/>
        <v>1</v>
      </c>
      <c r="I8" s="19" t="s">
        <v>39</v>
      </c>
      <c r="J8" s="32" t="s">
        <v>46</v>
      </c>
      <c r="K8" s="33">
        <f t="shared" ref="K8:AJ8" si="31">IF(AND(K$79&gt;=$F8,K$79&lt;=$G8),AM8/$BM$8*$E8,0)</f>
        <v>0</v>
      </c>
      <c r="L8" s="33">
        <f t="shared" si="31"/>
        <v>0</v>
      </c>
      <c r="M8" s="33">
        <f t="shared" si="31"/>
        <v>0</v>
      </c>
      <c r="N8" s="33">
        <f t="shared" si="31"/>
        <v>0</v>
      </c>
      <c r="O8" s="33">
        <f t="shared" si="31"/>
        <v>0</v>
      </c>
      <c r="P8" s="33">
        <f t="shared" si="31"/>
        <v>0</v>
      </c>
      <c r="Q8" s="33">
        <f t="shared" si="31"/>
        <v>0</v>
      </c>
      <c r="R8" s="33">
        <f t="shared" si="31"/>
        <v>0</v>
      </c>
      <c r="S8" s="33">
        <f t="shared" si="31"/>
        <v>0</v>
      </c>
      <c r="T8" s="33">
        <f t="shared" si="31"/>
        <v>0</v>
      </c>
      <c r="U8" s="33">
        <f t="shared" si="31"/>
        <v>0</v>
      </c>
      <c r="V8" s="33">
        <f t="shared" si="31"/>
        <v>0</v>
      </c>
      <c r="W8" s="33">
        <f t="shared" si="31"/>
        <v>0</v>
      </c>
      <c r="X8" s="33">
        <f t="shared" si="31"/>
        <v>0</v>
      </c>
      <c r="Y8" s="33">
        <f t="shared" si="31"/>
        <v>0</v>
      </c>
      <c r="Z8" s="33">
        <f t="shared" si="31"/>
        <v>0</v>
      </c>
      <c r="AA8" s="33">
        <f t="shared" si="31"/>
        <v>0</v>
      </c>
      <c r="AB8" s="33">
        <f t="shared" si="31"/>
        <v>0</v>
      </c>
      <c r="AC8" s="33">
        <f t="shared" si="31"/>
        <v>0</v>
      </c>
      <c r="AD8" s="33">
        <f t="shared" si="31"/>
        <v>0</v>
      </c>
      <c r="AE8" s="33">
        <f t="shared" si="31"/>
        <v>0</v>
      </c>
      <c r="AF8" s="33">
        <f t="shared" si="31"/>
        <v>0</v>
      </c>
      <c r="AG8" s="33">
        <f t="shared" si="31"/>
        <v>0</v>
      </c>
      <c r="AH8" s="33">
        <f t="shared" si="31"/>
        <v>0</v>
      </c>
      <c r="AI8" s="33">
        <f t="shared" si="31"/>
        <v>0</v>
      </c>
      <c r="AJ8" s="33">
        <f t="shared" si="31"/>
        <v>0</v>
      </c>
      <c r="AK8" s="14">
        <f t="shared" si="2"/>
        <v>0</v>
      </c>
      <c r="AM8">
        <f t="shared" si="3"/>
        <v>0</v>
      </c>
      <c r="AN8">
        <f t="shared" si="4"/>
        <v>0</v>
      </c>
      <c r="AO8">
        <f t="shared" si="5"/>
        <v>0</v>
      </c>
      <c r="AP8">
        <f t="shared" si="6"/>
        <v>0</v>
      </c>
      <c r="AQ8">
        <f t="shared" si="7"/>
        <v>0</v>
      </c>
      <c r="AR8">
        <f t="shared" si="8"/>
        <v>0</v>
      </c>
      <c r="AS8">
        <f t="shared" si="9"/>
        <v>0</v>
      </c>
      <c r="AT8">
        <f t="shared" si="10"/>
        <v>0</v>
      </c>
      <c r="AU8">
        <f t="shared" si="11"/>
        <v>0</v>
      </c>
      <c r="AV8">
        <f t="shared" si="12"/>
        <v>0</v>
      </c>
      <c r="AW8">
        <f t="shared" si="13"/>
        <v>0</v>
      </c>
      <c r="AX8">
        <f t="shared" si="14"/>
        <v>1</v>
      </c>
      <c r="AY8">
        <f t="shared" si="15"/>
        <v>0</v>
      </c>
      <c r="AZ8">
        <f t="shared" si="16"/>
        <v>0</v>
      </c>
      <c r="BA8">
        <f t="shared" si="17"/>
        <v>0</v>
      </c>
      <c r="BB8">
        <f t="shared" si="18"/>
        <v>0</v>
      </c>
      <c r="BC8">
        <f t="shared" si="19"/>
        <v>0</v>
      </c>
      <c r="BD8">
        <f t="shared" si="20"/>
        <v>0</v>
      </c>
      <c r="BE8">
        <f t="shared" si="21"/>
        <v>0</v>
      </c>
      <c r="BF8">
        <f t="shared" si="22"/>
        <v>0</v>
      </c>
      <c r="BG8">
        <f t="shared" si="23"/>
        <v>0</v>
      </c>
      <c r="BH8">
        <f t="shared" si="24"/>
        <v>0</v>
      </c>
      <c r="BI8">
        <f t="shared" si="25"/>
        <v>0</v>
      </c>
      <c r="BJ8">
        <f t="shared" si="26"/>
        <v>0</v>
      </c>
      <c r="BK8">
        <f t="shared" si="27"/>
        <v>0</v>
      </c>
      <c r="BL8">
        <f t="shared" si="28"/>
        <v>0</v>
      </c>
      <c r="BM8">
        <f t="shared" si="29"/>
        <v>1</v>
      </c>
    </row>
    <row r="9" spans="1:65" ht="25">
      <c r="A9" s="19" t="s">
        <v>49</v>
      </c>
      <c r="B9" s="19" t="s">
        <v>50</v>
      </c>
      <c r="C9" s="19" t="s">
        <v>18</v>
      </c>
      <c r="D9" s="24" t="s">
        <v>325</v>
      </c>
      <c r="E9" s="21">
        <v>279371.42857142899</v>
      </c>
      <c r="F9" s="19">
        <v>2</v>
      </c>
      <c r="G9" s="19">
        <v>2</v>
      </c>
      <c r="H9" s="19">
        <f t="shared" si="0"/>
        <v>1</v>
      </c>
      <c r="I9" s="19" t="s">
        <v>39</v>
      </c>
      <c r="J9" s="32" t="s">
        <v>51</v>
      </c>
      <c r="K9" s="33">
        <f t="shared" ref="K9:T17" si="32">IF(AND(K$79&gt;=$F9,K$79&lt;=$G9),$E9/$H9,0)</f>
        <v>0</v>
      </c>
      <c r="L9" s="33">
        <f t="shared" si="32"/>
        <v>279371.42857142899</v>
      </c>
      <c r="M9" s="33">
        <f t="shared" si="32"/>
        <v>0</v>
      </c>
      <c r="N9" s="33">
        <f t="shared" si="32"/>
        <v>0</v>
      </c>
      <c r="O9" s="33">
        <f t="shared" si="32"/>
        <v>0</v>
      </c>
      <c r="P9" s="33">
        <f t="shared" si="32"/>
        <v>0</v>
      </c>
      <c r="Q9" s="33">
        <f t="shared" si="32"/>
        <v>0</v>
      </c>
      <c r="R9" s="33">
        <f t="shared" si="32"/>
        <v>0</v>
      </c>
      <c r="S9" s="33">
        <f t="shared" si="32"/>
        <v>0</v>
      </c>
      <c r="T9" s="33">
        <f t="shared" si="32"/>
        <v>0</v>
      </c>
      <c r="U9" s="33">
        <f t="shared" ref="U9:AD17" si="33">IF(AND(U$79&gt;=$F9,U$79&lt;=$G9),$E9/$H9,0)</f>
        <v>0</v>
      </c>
      <c r="V9" s="33">
        <f t="shared" si="33"/>
        <v>0</v>
      </c>
      <c r="W9" s="33">
        <f t="shared" si="33"/>
        <v>0</v>
      </c>
      <c r="X9" s="33">
        <f t="shared" si="33"/>
        <v>0</v>
      </c>
      <c r="Y9" s="33">
        <f t="shared" si="33"/>
        <v>0</v>
      </c>
      <c r="Z9" s="33">
        <f t="shared" si="33"/>
        <v>0</v>
      </c>
      <c r="AA9" s="33">
        <f t="shared" si="33"/>
        <v>0</v>
      </c>
      <c r="AB9" s="33">
        <f t="shared" si="33"/>
        <v>0</v>
      </c>
      <c r="AC9" s="33">
        <f t="shared" si="33"/>
        <v>0</v>
      </c>
      <c r="AD9" s="33">
        <f t="shared" si="33"/>
        <v>0</v>
      </c>
      <c r="AE9" s="33">
        <f t="shared" ref="AE9:AJ17" si="34">IF(AND(AE$79&gt;=$F9,AE$79&lt;=$G9),$E9/$H9,0)</f>
        <v>0</v>
      </c>
      <c r="AF9" s="33">
        <f t="shared" si="34"/>
        <v>0</v>
      </c>
      <c r="AG9" s="33">
        <f t="shared" si="34"/>
        <v>0</v>
      </c>
      <c r="AH9" s="33">
        <f t="shared" si="34"/>
        <v>0</v>
      </c>
      <c r="AI9" s="33">
        <f t="shared" si="34"/>
        <v>0</v>
      </c>
      <c r="AJ9" s="33">
        <f t="shared" si="34"/>
        <v>0</v>
      </c>
      <c r="AK9" s="14">
        <f t="shared" si="2"/>
        <v>0</v>
      </c>
      <c r="AM9">
        <f t="shared" si="3"/>
        <v>0</v>
      </c>
      <c r="AN9">
        <f t="shared" si="4"/>
        <v>1</v>
      </c>
      <c r="AO9">
        <f t="shared" si="5"/>
        <v>0</v>
      </c>
      <c r="AP9">
        <f t="shared" si="6"/>
        <v>0</v>
      </c>
      <c r="AQ9">
        <f t="shared" si="7"/>
        <v>0</v>
      </c>
      <c r="AR9">
        <f t="shared" si="8"/>
        <v>0</v>
      </c>
      <c r="AS9">
        <f t="shared" si="9"/>
        <v>0</v>
      </c>
      <c r="AT9">
        <f t="shared" si="10"/>
        <v>0</v>
      </c>
      <c r="AU9">
        <f t="shared" si="11"/>
        <v>0</v>
      </c>
      <c r="AV9">
        <f t="shared" si="12"/>
        <v>0</v>
      </c>
      <c r="AW9">
        <f t="shared" si="13"/>
        <v>0</v>
      </c>
      <c r="AX9">
        <f t="shared" si="14"/>
        <v>0</v>
      </c>
      <c r="AY9">
        <f t="shared" si="15"/>
        <v>0</v>
      </c>
      <c r="AZ9">
        <f t="shared" si="16"/>
        <v>0</v>
      </c>
      <c r="BA9">
        <f t="shared" si="17"/>
        <v>0</v>
      </c>
      <c r="BB9">
        <f t="shared" si="18"/>
        <v>0</v>
      </c>
      <c r="BC9">
        <f t="shared" si="19"/>
        <v>0</v>
      </c>
      <c r="BD9">
        <f t="shared" si="20"/>
        <v>0</v>
      </c>
      <c r="BE9">
        <f t="shared" si="21"/>
        <v>0</v>
      </c>
      <c r="BF9">
        <f t="shared" si="22"/>
        <v>0</v>
      </c>
      <c r="BG9">
        <f t="shared" si="23"/>
        <v>0</v>
      </c>
      <c r="BH9">
        <f t="shared" si="24"/>
        <v>0</v>
      </c>
      <c r="BI9">
        <f t="shared" si="25"/>
        <v>0</v>
      </c>
      <c r="BJ9">
        <f t="shared" si="26"/>
        <v>0</v>
      </c>
      <c r="BK9">
        <f t="shared" si="27"/>
        <v>0</v>
      </c>
      <c r="BL9">
        <f t="shared" si="28"/>
        <v>0</v>
      </c>
      <c r="BM9">
        <f t="shared" si="29"/>
        <v>1</v>
      </c>
    </row>
    <row r="10" spans="1:65">
      <c r="A10" s="19" t="s">
        <v>53</v>
      </c>
      <c r="B10" s="19" t="s">
        <v>54</v>
      </c>
      <c r="C10" s="19" t="s">
        <v>18</v>
      </c>
      <c r="D10" s="24" t="s">
        <v>325</v>
      </c>
      <c r="E10" s="21">
        <v>419057.14285714302</v>
      </c>
      <c r="F10" s="19">
        <v>3</v>
      </c>
      <c r="G10" s="19">
        <v>3</v>
      </c>
      <c r="H10" s="19">
        <f t="shared" si="0"/>
        <v>1</v>
      </c>
      <c r="I10" s="19" t="s">
        <v>39</v>
      </c>
      <c r="J10" s="32" t="s">
        <v>55</v>
      </c>
      <c r="K10" s="33">
        <f t="shared" si="32"/>
        <v>0</v>
      </c>
      <c r="L10" s="33">
        <f t="shared" si="32"/>
        <v>0</v>
      </c>
      <c r="M10" s="33">
        <f t="shared" si="32"/>
        <v>419057.14285714302</v>
      </c>
      <c r="N10" s="33">
        <f t="shared" si="32"/>
        <v>0</v>
      </c>
      <c r="O10" s="33">
        <f t="shared" si="32"/>
        <v>0</v>
      </c>
      <c r="P10" s="33">
        <f t="shared" si="32"/>
        <v>0</v>
      </c>
      <c r="Q10" s="33">
        <f t="shared" si="32"/>
        <v>0</v>
      </c>
      <c r="R10" s="33">
        <f t="shared" si="32"/>
        <v>0</v>
      </c>
      <c r="S10" s="33">
        <f t="shared" si="32"/>
        <v>0</v>
      </c>
      <c r="T10" s="33">
        <f t="shared" si="32"/>
        <v>0</v>
      </c>
      <c r="U10" s="33">
        <f t="shared" si="33"/>
        <v>0</v>
      </c>
      <c r="V10" s="33">
        <f t="shared" si="33"/>
        <v>0</v>
      </c>
      <c r="W10" s="33">
        <f t="shared" si="33"/>
        <v>0</v>
      </c>
      <c r="X10" s="33">
        <f t="shared" si="33"/>
        <v>0</v>
      </c>
      <c r="Y10" s="33">
        <f t="shared" si="33"/>
        <v>0</v>
      </c>
      <c r="Z10" s="33">
        <f t="shared" si="33"/>
        <v>0</v>
      </c>
      <c r="AA10" s="33">
        <f t="shared" si="33"/>
        <v>0</v>
      </c>
      <c r="AB10" s="33">
        <f t="shared" si="33"/>
        <v>0</v>
      </c>
      <c r="AC10" s="33">
        <f t="shared" si="33"/>
        <v>0</v>
      </c>
      <c r="AD10" s="33">
        <f t="shared" si="33"/>
        <v>0</v>
      </c>
      <c r="AE10" s="33">
        <f t="shared" si="34"/>
        <v>0</v>
      </c>
      <c r="AF10" s="33">
        <f t="shared" si="34"/>
        <v>0</v>
      </c>
      <c r="AG10" s="33">
        <f t="shared" si="34"/>
        <v>0</v>
      </c>
      <c r="AH10" s="33">
        <f t="shared" si="34"/>
        <v>0</v>
      </c>
      <c r="AI10" s="33">
        <f t="shared" si="34"/>
        <v>0</v>
      </c>
      <c r="AJ10" s="33">
        <f t="shared" si="34"/>
        <v>0</v>
      </c>
      <c r="AK10" s="14">
        <f t="shared" si="2"/>
        <v>0</v>
      </c>
      <c r="AM10">
        <f t="shared" si="3"/>
        <v>0</v>
      </c>
      <c r="AN10">
        <f t="shared" si="4"/>
        <v>0</v>
      </c>
      <c r="AO10">
        <f t="shared" si="5"/>
        <v>1</v>
      </c>
      <c r="AP10">
        <f t="shared" si="6"/>
        <v>0</v>
      </c>
      <c r="AQ10">
        <f t="shared" si="7"/>
        <v>0</v>
      </c>
      <c r="AR10">
        <f t="shared" si="8"/>
        <v>0</v>
      </c>
      <c r="AS10">
        <f t="shared" si="9"/>
        <v>0</v>
      </c>
      <c r="AT10">
        <f t="shared" si="10"/>
        <v>0</v>
      </c>
      <c r="AU10">
        <f t="shared" si="11"/>
        <v>0</v>
      </c>
      <c r="AV10">
        <f t="shared" si="12"/>
        <v>0</v>
      </c>
      <c r="AW10">
        <f t="shared" si="13"/>
        <v>0</v>
      </c>
      <c r="AX10">
        <f t="shared" si="14"/>
        <v>0</v>
      </c>
      <c r="AY10">
        <f t="shared" si="15"/>
        <v>0</v>
      </c>
      <c r="AZ10">
        <f t="shared" si="16"/>
        <v>0</v>
      </c>
      <c r="BA10">
        <f t="shared" si="17"/>
        <v>0</v>
      </c>
      <c r="BB10">
        <f t="shared" si="18"/>
        <v>0</v>
      </c>
      <c r="BC10">
        <f t="shared" si="19"/>
        <v>0</v>
      </c>
      <c r="BD10">
        <f t="shared" si="20"/>
        <v>0</v>
      </c>
      <c r="BE10">
        <f t="shared" si="21"/>
        <v>0</v>
      </c>
      <c r="BF10">
        <f t="shared" si="22"/>
        <v>0</v>
      </c>
      <c r="BG10">
        <f t="shared" si="23"/>
        <v>0</v>
      </c>
      <c r="BH10">
        <f t="shared" si="24"/>
        <v>0</v>
      </c>
      <c r="BI10">
        <f t="shared" si="25"/>
        <v>0</v>
      </c>
      <c r="BJ10">
        <f t="shared" si="26"/>
        <v>0</v>
      </c>
      <c r="BK10">
        <f t="shared" si="27"/>
        <v>0</v>
      </c>
      <c r="BL10">
        <f t="shared" si="28"/>
        <v>0</v>
      </c>
      <c r="BM10">
        <f t="shared" si="29"/>
        <v>1</v>
      </c>
    </row>
    <row r="11" spans="1:65">
      <c r="A11" s="19" t="s">
        <v>56</v>
      </c>
      <c r="B11" s="19" t="s">
        <v>57</v>
      </c>
      <c r="C11" s="19" t="s">
        <v>18</v>
      </c>
      <c r="D11" s="24" t="s">
        <v>325</v>
      </c>
      <c r="E11" s="21">
        <v>558742.85714285704</v>
      </c>
      <c r="F11" s="19">
        <v>4</v>
      </c>
      <c r="G11" s="19">
        <v>4</v>
      </c>
      <c r="H11" s="19">
        <f t="shared" si="0"/>
        <v>1</v>
      </c>
      <c r="I11" s="19" t="s">
        <v>39</v>
      </c>
      <c r="J11" s="32" t="s">
        <v>58</v>
      </c>
      <c r="K11" s="33">
        <f t="shared" si="32"/>
        <v>0</v>
      </c>
      <c r="L11" s="33">
        <f t="shared" si="32"/>
        <v>0</v>
      </c>
      <c r="M11" s="33">
        <f t="shared" si="32"/>
        <v>0</v>
      </c>
      <c r="N11" s="33">
        <f t="shared" si="32"/>
        <v>558742.85714285704</v>
      </c>
      <c r="O11" s="33">
        <f t="shared" si="32"/>
        <v>0</v>
      </c>
      <c r="P11" s="33">
        <f t="shared" si="32"/>
        <v>0</v>
      </c>
      <c r="Q11" s="33">
        <f t="shared" si="32"/>
        <v>0</v>
      </c>
      <c r="R11" s="33">
        <f t="shared" si="32"/>
        <v>0</v>
      </c>
      <c r="S11" s="33">
        <f t="shared" si="32"/>
        <v>0</v>
      </c>
      <c r="T11" s="33">
        <f t="shared" si="32"/>
        <v>0</v>
      </c>
      <c r="U11" s="33">
        <f t="shared" si="33"/>
        <v>0</v>
      </c>
      <c r="V11" s="33">
        <f t="shared" si="33"/>
        <v>0</v>
      </c>
      <c r="W11" s="33">
        <f t="shared" si="33"/>
        <v>0</v>
      </c>
      <c r="X11" s="33">
        <f t="shared" si="33"/>
        <v>0</v>
      </c>
      <c r="Y11" s="33">
        <f t="shared" si="33"/>
        <v>0</v>
      </c>
      <c r="Z11" s="33">
        <f t="shared" si="33"/>
        <v>0</v>
      </c>
      <c r="AA11" s="33">
        <f t="shared" si="33"/>
        <v>0</v>
      </c>
      <c r="AB11" s="33">
        <f t="shared" si="33"/>
        <v>0</v>
      </c>
      <c r="AC11" s="33">
        <f t="shared" si="33"/>
        <v>0</v>
      </c>
      <c r="AD11" s="33">
        <f t="shared" si="33"/>
        <v>0</v>
      </c>
      <c r="AE11" s="33">
        <f t="shared" si="34"/>
        <v>0</v>
      </c>
      <c r="AF11" s="33">
        <f t="shared" si="34"/>
        <v>0</v>
      </c>
      <c r="AG11" s="33">
        <f t="shared" si="34"/>
        <v>0</v>
      </c>
      <c r="AH11" s="33">
        <f t="shared" si="34"/>
        <v>0</v>
      </c>
      <c r="AI11" s="33">
        <f t="shared" si="34"/>
        <v>0</v>
      </c>
      <c r="AJ11" s="33">
        <f t="shared" si="34"/>
        <v>0</v>
      </c>
      <c r="AK11" s="14">
        <f t="shared" si="2"/>
        <v>0</v>
      </c>
      <c r="AM11">
        <f t="shared" si="3"/>
        <v>0</v>
      </c>
      <c r="AN11">
        <f t="shared" si="4"/>
        <v>0</v>
      </c>
      <c r="AO11">
        <f t="shared" si="5"/>
        <v>0</v>
      </c>
      <c r="AP11">
        <f t="shared" si="6"/>
        <v>1</v>
      </c>
      <c r="AQ11">
        <f t="shared" si="7"/>
        <v>0</v>
      </c>
      <c r="AR11">
        <f t="shared" si="8"/>
        <v>0</v>
      </c>
      <c r="AS11">
        <f t="shared" si="9"/>
        <v>0</v>
      </c>
      <c r="AT11">
        <f t="shared" si="10"/>
        <v>0</v>
      </c>
      <c r="AU11">
        <f t="shared" si="11"/>
        <v>0</v>
      </c>
      <c r="AV11">
        <f t="shared" si="12"/>
        <v>0</v>
      </c>
      <c r="AW11">
        <f t="shared" si="13"/>
        <v>0</v>
      </c>
      <c r="AX11">
        <f t="shared" si="14"/>
        <v>0</v>
      </c>
      <c r="AY11">
        <f t="shared" si="15"/>
        <v>0</v>
      </c>
      <c r="AZ11">
        <f t="shared" si="16"/>
        <v>0</v>
      </c>
      <c r="BA11">
        <f t="shared" si="17"/>
        <v>0</v>
      </c>
      <c r="BB11">
        <f t="shared" si="18"/>
        <v>0</v>
      </c>
      <c r="BC11">
        <f t="shared" si="19"/>
        <v>0</v>
      </c>
      <c r="BD11">
        <f t="shared" si="20"/>
        <v>0</v>
      </c>
      <c r="BE11">
        <f t="shared" si="21"/>
        <v>0</v>
      </c>
      <c r="BF11">
        <f t="shared" si="22"/>
        <v>0</v>
      </c>
      <c r="BG11">
        <f t="shared" si="23"/>
        <v>0</v>
      </c>
      <c r="BH11">
        <f t="shared" si="24"/>
        <v>0</v>
      </c>
      <c r="BI11">
        <f t="shared" si="25"/>
        <v>0</v>
      </c>
      <c r="BJ11">
        <f t="shared" si="26"/>
        <v>0</v>
      </c>
      <c r="BK11">
        <f t="shared" si="27"/>
        <v>0</v>
      </c>
      <c r="BL11">
        <f t="shared" si="28"/>
        <v>0</v>
      </c>
      <c r="BM11">
        <f t="shared" si="29"/>
        <v>1</v>
      </c>
    </row>
    <row r="12" spans="1:65">
      <c r="A12" s="19" t="s">
        <v>59</v>
      </c>
      <c r="B12" s="19" t="s">
        <v>60</v>
      </c>
      <c r="C12" s="19" t="s">
        <v>18</v>
      </c>
      <c r="D12" s="24" t="s">
        <v>325</v>
      </c>
      <c r="E12" s="21">
        <v>838114.28571428603</v>
      </c>
      <c r="F12" s="19">
        <v>5</v>
      </c>
      <c r="G12" s="19">
        <v>6</v>
      </c>
      <c r="H12" s="19">
        <f t="shared" si="0"/>
        <v>2</v>
      </c>
      <c r="I12" s="19" t="s">
        <v>39</v>
      </c>
      <c r="J12" s="32" t="s">
        <v>61</v>
      </c>
      <c r="K12" s="33">
        <f t="shared" si="32"/>
        <v>0</v>
      </c>
      <c r="L12" s="33">
        <f t="shared" si="32"/>
        <v>0</v>
      </c>
      <c r="M12" s="33">
        <f t="shared" si="32"/>
        <v>0</v>
      </c>
      <c r="N12" s="33">
        <f t="shared" si="32"/>
        <v>0</v>
      </c>
      <c r="O12" s="33">
        <f t="shared" si="32"/>
        <v>419057.14285714302</v>
      </c>
      <c r="P12" s="33">
        <f t="shared" si="32"/>
        <v>419057.14285714302</v>
      </c>
      <c r="Q12" s="33">
        <f t="shared" si="32"/>
        <v>0</v>
      </c>
      <c r="R12" s="33">
        <f t="shared" si="32"/>
        <v>0</v>
      </c>
      <c r="S12" s="33">
        <f t="shared" si="32"/>
        <v>0</v>
      </c>
      <c r="T12" s="33">
        <f t="shared" si="32"/>
        <v>0</v>
      </c>
      <c r="U12" s="33">
        <f t="shared" si="33"/>
        <v>0</v>
      </c>
      <c r="V12" s="33">
        <f t="shared" si="33"/>
        <v>0</v>
      </c>
      <c r="W12" s="33">
        <f t="shared" si="33"/>
        <v>0</v>
      </c>
      <c r="X12" s="33">
        <f t="shared" si="33"/>
        <v>0</v>
      </c>
      <c r="Y12" s="33">
        <f t="shared" si="33"/>
        <v>0</v>
      </c>
      <c r="Z12" s="33">
        <f t="shared" si="33"/>
        <v>0</v>
      </c>
      <c r="AA12" s="33">
        <f t="shared" si="33"/>
        <v>0</v>
      </c>
      <c r="AB12" s="33">
        <f t="shared" si="33"/>
        <v>0</v>
      </c>
      <c r="AC12" s="33">
        <f t="shared" si="33"/>
        <v>0</v>
      </c>
      <c r="AD12" s="33">
        <f t="shared" si="33"/>
        <v>0</v>
      </c>
      <c r="AE12" s="33">
        <f t="shared" si="34"/>
        <v>0</v>
      </c>
      <c r="AF12" s="33">
        <f t="shared" si="34"/>
        <v>0</v>
      </c>
      <c r="AG12" s="33">
        <f t="shared" si="34"/>
        <v>0</v>
      </c>
      <c r="AH12" s="33">
        <f t="shared" si="34"/>
        <v>0</v>
      </c>
      <c r="AI12" s="33">
        <f t="shared" si="34"/>
        <v>0</v>
      </c>
      <c r="AJ12" s="33">
        <f t="shared" si="34"/>
        <v>0</v>
      </c>
      <c r="AK12" s="14">
        <f t="shared" si="2"/>
        <v>0</v>
      </c>
      <c r="AM12">
        <f t="shared" si="3"/>
        <v>0</v>
      </c>
      <c r="AN12">
        <f t="shared" si="4"/>
        <v>0</v>
      </c>
      <c r="AO12">
        <f t="shared" si="5"/>
        <v>0</v>
      </c>
      <c r="AP12">
        <f t="shared" si="6"/>
        <v>0</v>
      </c>
      <c r="AQ12">
        <f t="shared" si="7"/>
        <v>1</v>
      </c>
      <c r="AR12">
        <f t="shared" si="8"/>
        <v>1</v>
      </c>
      <c r="AS12">
        <f t="shared" si="9"/>
        <v>0</v>
      </c>
      <c r="AT12">
        <f t="shared" si="10"/>
        <v>0</v>
      </c>
      <c r="AU12">
        <f t="shared" si="11"/>
        <v>0</v>
      </c>
      <c r="AV12">
        <f t="shared" si="12"/>
        <v>0</v>
      </c>
      <c r="AW12">
        <f t="shared" si="13"/>
        <v>0</v>
      </c>
      <c r="AX12">
        <f t="shared" si="14"/>
        <v>0</v>
      </c>
      <c r="AY12">
        <f t="shared" si="15"/>
        <v>0</v>
      </c>
      <c r="AZ12">
        <f t="shared" si="16"/>
        <v>0</v>
      </c>
      <c r="BA12">
        <f t="shared" si="17"/>
        <v>0</v>
      </c>
      <c r="BB12">
        <f t="shared" si="18"/>
        <v>0</v>
      </c>
      <c r="BC12">
        <f t="shared" si="19"/>
        <v>0</v>
      </c>
      <c r="BD12">
        <f t="shared" si="20"/>
        <v>0</v>
      </c>
      <c r="BE12">
        <f t="shared" si="21"/>
        <v>0</v>
      </c>
      <c r="BF12">
        <f t="shared" si="22"/>
        <v>0</v>
      </c>
      <c r="BG12">
        <f t="shared" si="23"/>
        <v>0</v>
      </c>
      <c r="BH12">
        <f t="shared" si="24"/>
        <v>0</v>
      </c>
      <c r="BI12">
        <f t="shared" si="25"/>
        <v>0</v>
      </c>
      <c r="BJ12">
        <f t="shared" si="26"/>
        <v>0</v>
      </c>
      <c r="BK12">
        <f t="shared" si="27"/>
        <v>0</v>
      </c>
      <c r="BL12">
        <f t="shared" si="28"/>
        <v>0</v>
      </c>
      <c r="BM12">
        <f t="shared" si="29"/>
        <v>2</v>
      </c>
    </row>
    <row r="13" spans="1:65">
      <c r="A13" s="19" t="s">
        <v>62</v>
      </c>
      <c r="B13" s="19" t="s">
        <v>63</v>
      </c>
      <c r="C13" s="19" t="s">
        <v>18</v>
      </c>
      <c r="D13" s="24" t="s">
        <v>325</v>
      </c>
      <c r="E13" s="21">
        <v>1117485.7142857099</v>
      </c>
      <c r="F13" s="19">
        <v>7</v>
      </c>
      <c r="G13" s="19">
        <v>8</v>
      </c>
      <c r="H13" s="19">
        <f t="shared" si="0"/>
        <v>2</v>
      </c>
      <c r="I13" s="19" t="s">
        <v>39</v>
      </c>
      <c r="J13" s="32" t="s">
        <v>64</v>
      </c>
      <c r="K13" s="33">
        <f t="shared" si="32"/>
        <v>0</v>
      </c>
      <c r="L13" s="33">
        <f t="shared" si="32"/>
        <v>0</v>
      </c>
      <c r="M13" s="33">
        <f t="shared" si="32"/>
        <v>0</v>
      </c>
      <c r="N13" s="33">
        <f t="shared" si="32"/>
        <v>0</v>
      </c>
      <c r="O13" s="33">
        <f t="shared" si="32"/>
        <v>0</v>
      </c>
      <c r="P13" s="33">
        <f t="shared" si="32"/>
        <v>0</v>
      </c>
      <c r="Q13" s="33">
        <f t="shared" si="32"/>
        <v>558742.85714285495</v>
      </c>
      <c r="R13" s="33">
        <f t="shared" si="32"/>
        <v>558742.85714285495</v>
      </c>
      <c r="S13" s="33">
        <f t="shared" si="32"/>
        <v>0</v>
      </c>
      <c r="T13" s="33">
        <f t="shared" si="32"/>
        <v>0</v>
      </c>
      <c r="U13" s="33">
        <f t="shared" si="33"/>
        <v>0</v>
      </c>
      <c r="V13" s="33">
        <f t="shared" si="33"/>
        <v>0</v>
      </c>
      <c r="W13" s="33">
        <f t="shared" si="33"/>
        <v>0</v>
      </c>
      <c r="X13" s="33">
        <f t="shared" si="33"/>
        <v>0</v>
      </c>
      <c r="Y13" s="33">
        <f t="shared" si="33"/>
        <v>0</v>
      </c>
      <c r="Z13" s="33">
        <f t="shared" si="33"/>
        <v>0</v>
      </c>
      <c r="AA13" s="33">
        <f t="shared" si="33"/>
        <v>0</v>
      </c>
      <c r="AB13" s="33">
        <f t="shared" si="33"/>
        <v>0</v>
      </c>
      <c r="AC13" s="33">
        <f t="shared" si="33"/>
        <v>0</v>
      </c>
      <c r="AD13" s="33">
        <f t="shared" si="33"/>
        <v>0</v>
      </c>
      <c r="AE13" s="33">
        <f t="shared" si="34"/>
        <v>0</v>
      </c>
      <c r="AF13" s="33">
        <f t="shared" si="34"/>
        <v>0</v>
      </c>
      <c r="AG13" s="33">
        <f t="shared" si="34"/>
        <v>0</v>
      </c>
      <c r="AH13" s="33">
        <f t="shared" si="34"/>
        <v>0</v>
      </c>
      <c r="AI13" s="33">
        <f t="shared" si="34"/>
        <v>0</v>
      </c>
      <c r="AJ13" s="33">
        <f t="shared" si="34"/>
        <v>0</v>
      </c>
      <c r="AK13" s="14">
        <f t="shared" si="2"/>
        <v>0</v>
      </c>
      <c r="AM13">
        <f t="shared" si="3"/>
        <v>0</v>
      </c>
      <c r="AN13">
        <f t="shared" si="4"/>
        <v>0</v>
      </c>
      <c r="AO13">
        <f t="shared" si="5"/>
        <v>0</v>
      </c>
      <c r="AP13">
        <f t="shared" si="6"/>
        <v>0</v>
      </c>
      <c r="AQ13">
        <f t="shared" si="7"/>
        <v>0</v>
      </c>
      <c r="AR13">
        <f t="shared" si="8"/>
        <v>0</v>
      </c>
      <c r="AS13">
        <f t="shared" si="9"/>
        <v>1</v>
      </c>
      <c r="AT13">
        <f t="shared" si="10"/>
        <v>1</v>
      </c>
      <c r="AU13">
        <f t="shared" si="11"/>
        <v>0</v>
      </c>
      <c r="AV13">
        <f t="shared" si="12"/>
        <v>0</v>
      </c>
      <c r="AW13">
        <f t="shared" si="13"/>
        <v>0</v>
      </c>
      <c r="AX13">
        <f t="shared" si="14"/>
        <v>0</v>
      </c>
      <c r="AY13">
        <f t="shared" si="15"/>
        <v>0</v>
      </c>
      <c r="AZ13">
        <f t="shared" si="16"/>
        <v>0</v>
      </c>
      <c r="BA13">
        <f t="shared" si="17"/>
        <v>0</v>
      </c>
      <c r="BB13">
        <f t="shared" si="18"/>
        <v>0</v>
      </c>
      <c r="BC13">
        <f t="shared" si="19"/>
        <v>0</v>
      </c>
      <c r="BD13">
        <f t="shared" si="20"/>
        <v>0</v>
      </c>
      <c r="BE13">
        <f t="shared" si="21"/>
        <v>0</v>
      </c>
      <c r="BF13">
        <f t="shared" si="22"/>
        <v>0</v>
      </c>
      <c r="BG13">
        <f t="shared" si="23"/>
        <v>0</v>
      </c>
      <c r="BH13">
        <f t="shared" si="24"/>
        <v>0</v>
      </c>
      <c r="BI13">
        <f t="shared" si="25"/>
        <v>0</v>
      </c>
      <c r="BJ13">
        <f t="shared" si="26"/>
        <v>0</v>
      </c>
      <c r="BK13">
        <f t="shared" si="27"/>
        <v>0</v>
      </c>
      <c r="BL13">
        <f t="shared" si="28"/>
        <v>0</v>
      </c>
      <c r="BM13">
        <f t="shared" si="29"/>
        <v>2</v>
      </c>
    </row>
    <row r="14" spans="1:65">
      <c r="A14" s="19" t="s">
        <v>65</v>
      </c>
      <c r="B14" s="19" t="s">
        <v>66</v>
      </c>
      <c r="C14" s="19" t="s">
        <v>18</v>
      </c>
      <c r="D14" s="24" t="s">
        <v>325</v>
      </c>
      <c r="E14" s="21">
        <v>1676228.57142857</v>
      </c>
      <c r="F14" s="19">
        <v>9</v>
      </c>
      <c r="G14" s="19">
        <v>11</v>
      </c>
      <c r="H14" s="19">
        <f t="shared" si="0"/>
        <v>3</v>
      </c>
      <c r="I14" s="19" t="s">
        <v>39</v>
      </c>
      <c r="J14" s="32" t="s">
        <v>67</v>
      </c>
      <c r="K14" s="33">
        <f t="shared" si="32"/>
        <v>0</v>
      </c>
      <c r="L14" s="33">
        <f t="shared" si="32"/>
        <v>0</v>
      </c>
      <c r="M14" s="33">
        <f t="shared" si="32"/>
        <v>0</v>
      </c>
      <c r="N14" s="33">
        <f t="shared" si="32"/>
        <v>0</v>
      </c>
      <c r="O14" s="33">
        <f t="shared" si="32"/>
        <v>0</v>
      </c>
      <c r="P14" s="33">
        <f t="shared" si="32"/>
        <v>0</v>
      </c>
      <c r="Q14" s="33">
        <f t="shared" si="32"/>
        <v>0</v>
      </c>
      <c r="R14" s="33">
        <f t="shared" si="32"/>
        <v>0</v>
      </c>
      <c r="S14" s="33">
        <f t="shared" si="32"/>
        <v>558742.85714285669</v>
      </c>
      <c r="T14" s="33">
        <f t="shared" si="32"/>
        <v>558742.85714285669</v>
      </c>
      <c r="U14" s="33">
        <f t="shared" si="33"/>
        <v>558742.85714285669</v>
      </c>
      <c r="V14" s="33">
        <f t="shared" si="33"/>
        <v>0</v>
      </c>
      <c r="W14" s="33">
        <f t="shared" si="33"/>
        <v>0</v>
      </c>
      <c r="X14" s="33">
        <f t="shared" si="33"/>
        <v>0</v>
      </c>
      <c r="Y14" s="33">
        <f t="shared" si="33"/>
        <v>0</v>
      </c>
      <c r="Z14" s="33">
        <f t="shared" si="33"/>
        <v>0</v>
      </c>
      <c r="AA14" s="33">
        <f t="shared" si="33"/>
        <v>0</v>
      </c>
      <c r="AB14" s="33">
        <f t="shared" si="33"/>
        <v>0</v>
      </c>
      <c r="AC14" s="33">
        <f t="shared" si="33"/>
        <v>0</v>
      </c>
      <c r="AD14" s="33">
        <f t="shared" si="33"/>
        <v>0</v>
      </c>
      <c r="AE14" s="33">
        <f t="shared" si="34"/>
        <v>0</v>
      </c>
      <c r="AF14" s="33">
        <f t="shared" si="34"/>
        <v>0</v>
      </c>
      <c r="AG14" s="33">
        <f t="shared" si="34"/>
        <v>0</v>
      </c>
      <c r="AH14" s="33">
        <f t="shared" si="34"/>
        <v>0</v>
      </c>
      <c r="AI14" s="33">
        <f t="shared" si="34"/>
        <v>0</v>
      </c>
      <c r="AJ14" s="33">
        <f t="shared" si="34"/>
        <v>0</v>
      </c>
      <c r="AK14" s="14">
        <f t="shared" si="2"/>
        <v>0</v>
      </c>
      <c r="AM14">
        <f t="shared" si="3"/>
        <v>0</v>
      </c>
      <c r="AN14">
        <f t="shared" si="4"/>
        <v>0</v>
      </c>
      <c r="AO14">
        <f t="shared" si="5"/>
        <v>0</v>
      </c>
      <c r="AP14">
        <f t="shared" si="6"/>
        <v>0</v>
      </c>
      <c r="AQ14">
        <f t="shared" si="7"/>
        <v>0</v>
      </c>
      <c r="AR14">
        <f t="shared" si="8"/>
        <v>0</v>
      </c>
      <c r="AS14">
        <f t="shared" si="9"/>
        <v>0</v>
      </c>
      <c r="AT14">
        <f t="shared" si="10"/>
        <v>0</v>
      </c>
      <c r="AU14">
        <f t="shared" si="11"/>
        <v>1</v>
      </c>
      <c r="AV14">
        <f t="shared" si="12"/>
        <v>2</v>
      </c>
      <c r="AW14">
        <f t="shared" si="13"/>
        <v>1</v>
      </c>
      <c r="AX14">
        <f t="shared" si="14"/>
        <v>0</v>
      </c>
      <c r="AY14">
        <f t="shared" si="15"/>
        <v>0</v>
      </c>
      <c r="AZ14">
        <f t="shared" si="16"/>
        <v>0</v>
      </c>
      <c r="BA14">
        <f t="shared" si="17"/>
        <v>0</v>
      </c>
      <c r="BB14">
        <f t="shared" si="18"/>
        <v>0</v>
      </c>
      <c r="BC14">
        <f t="shared" si="19"/>
        <v>0</v>
      </c>
      <c r="BD14">
        <f t="shared" si="20"/>
        <v>0</v>
      </c>
      <c r="BE14">
        <f t="shared" si="21"/>
        <v>0</v>
      </c>
      <c r="BF14">
        <f t="shared" si="22"/>
        <v>0</v>
      </c>
      <c r="BG14">
        <f t="shared" si="23"/>
        <v>0</v>
      </c>
      <c r="BH14">
        <f t="shared" si="24"/>
        <v>0</v>
      </c>
      <c r="BI14">
        <f t="shared" si="25"/>
        <v>0</v>
      </c>
      <c r="BJ14">
        <f t="shared" si="26"/>
        <v>0</v>
      </c>
      <c r="BK14">
        <f t="shared" si="27"/>
        <v>0</v>
      </c>
      <c r="BL14">
        <f t="shared" si="28"/>
        <v>0</v>
      </c>
      <c r="BM14">
        <f t="shared" si="29"/>
        <v>4</v>
      </c>
    </row>
    <row r="15" spans="1:65">
      <c r="A15" s="19" t="s">
        <v>70</v>
      </c>
      <c r="B15" s="19" t="s">
        <v>326</v>
      </c>
      <c r="C15" s="19" t="s">
        <v>18</v>
      </c>
      <c r="D15" s="25" t="s">
        <v>327</v>
      </c>
      <c r="E15" s="21">
        <v>22500</v>
      </c>
      <c r="F15" s="19">
        <v>11</v>
      </c>
      <c r="G15" s="19">
        <v>11</v>
      </c>
      <c r="H15" s="19">
        <f t="shared" si="0"/>
        <v>1</v>
      </c>
      <c r="I15" s="19" t="s">
        <v>39</v>
      </c>
      <c r="J15" s="32" t="s">
        <v>73</v>
      </c>
      <c r="K15" s="33">
        <f t="shared" si="32"/>
        <v>0</v>
      </c>
      <c r="L15" s="33">
        <f t="shared" si="32"/>
        <v>0</v>
      </c>
      <c r="M15" s="33">
        <f t="shared" si="32"/>
        <v>0</v>
      </c>
      <c r="N15" s="33">
        <f t="shared" si="32"/>
        <v>0</v>
      </c>
      <c r="O15" s="33">
        <f t="shared" si="32"/>
        <v>0</v>
      </c>
      <c r="P15" s="33">
        <f t="shared" si="32"/>
        <v>0</v>
      </c>
      <c r="Q15" s="33">
        <f t="shared" si="32"/>
        <v>0</v>
      </c>
      <c r="R15" s="33">
        <f t="shared" si="32"/>
        <v>0</v>
      </c>
      <c r="S15" s="33">
        <f t="shared" si="32"/>
        <v>0</v>
      </c>
      <c r="T15" s="33">
        <f t="shared" si="32"/>
        <v>0</v>
      </c>
      <c r="U15" s="33">
        <f t="shared" si="33"/>
        <v>22500</v>
      </c>
      <c r="V15" s="33">
        <f t="shared" si="33"/>
        <v>0</v>
      </c>
      <c r="W15" s="33">
        <f t="shared" si="33"/>
        <v>0</v>
      </c>
      <c r="X15" s="33">
        <f t="shared" si="33"/>
        <v>0</v>
      </c>
      <c r="Y15" s="33">
        <f t="shared" si="33"/>
        <v>0</v>
      </c>
      <c r="Z15" s="33">
        <f t="shared" si="33"/>
        <v>0</v>
      </c>
      <c r="AA15" s="33">
        <f t="shared" si="33"/>
        <v>0</v>
      </c>
      <c r="AB15" s="33">
        <f t="shared" si="33"/>
        <v>0</v>
      </c>
      <c r="AC15" s="33">
        <f t="shared" si="33"/>
        <v>0</v>
      </c>
      <c r="AD15" s="33">
        <f t="shared" si="33"/>
        <v>0</v>
      </c>
      <c r="AE15" s="33">
        <f t="shared" si="34"/>
        <v>0</v>
      </c>
      <c r="AF15" s="33">
        <f t="shared" si="34"/>
        <v>0</v>
      </c>
      <c r="AG15" s="33">
        <f t="shared" si="34"/>
        <v>0</v>
      </c>
      <c r="AH15" s="33">
        <f t="shared" si="34"/>
        <v>0</v>
      </c>
      <c r="AI15" s="33">
        <f t="shared" si="34"/>
        <v>0</v>
      </c>
      <c r="AJ15" s="33">
        <f t="shared" si="34"/>
        <v>0</v>
      </c>
      <c r="AK15" s="14">
        <f t="shared" si="2"/>
        <v>0</v>
      </c>
      <c r="AM15">
        <f t="shared" si="3"/>
        <v>0</v>
      </c>
      <c r="AN15">
        <f t="shared" si="4"/>
        <v>0</v>
      </c>
      <c r="AO15">
        <f t="shared" si="5"/>
        <v>0</v>
      </c>
      <c r="AP15">
        <f t="shared" si="6"/>
        <v>0</v>
      </c>
      <c r="AQ15">
        <f t="shared" si="7"/>
        <v>0</v>
      </c>
      <c r="AR15">
        <f t="shared" si="8"/>
        <v>0</v>
      </c>
      <c r="AS15">
        <f t="shared" si="9"/>
        <v>0</v>
      </c>
      <c r="AT15">
        <f t="shared" si="10"/>
        <v>0</v>
      </c>
      <c r="AU15">
        <f t="shared" si="11"/>
        <v>0</v>
      </c>
      <c r="AV15">
        <f t="shared" si="12"/>
        <v>0</v>
      </c>
      <c r="AW15">
        <f t="shared" si="13"/>
        <v>1</v>
      </c>
      <c r="AX15">
        <f t="shared" si="14"/>
        <v>0</v>
      </c>
      <c r="AY15">
        <f t="shared" si="15"/>
        <v>0</v>
      </c>
      <c r="AZ15">
        <f t="shared" si="16"/>
        <v>0</v>
      </c>
      <c r="BA15">
        <f t="shared" si="17"/>
        <v>0</v>
      </c>
      <c r="BB15">
        <f t="shared" si="18"/>
        <v>0</v>
      </c>
      <c r="BC15">
        <f t="shared" si="19"/>
        <v>0</v>
      </c>
      <c r="BD15">
        <f t="shared" si="20"/>
        <v>0</v>
      </c>
      <c r="BE15">
        <f t="shared" si="21"/>
        <v>0</v>
      </c>
      <c r="BF15">
        <f t="shared" si="22"/>
        <v>0</v>
      </c>
      <c r="BG15">
        <f t="shared" si="23"/>
        <v>0</v>
      </c>
      <c r="BH15">
        <f t="shared" si="24"/>
        <v>0</v>
      </c>
      <c r="BI15">
        <f t="shared" si="25"/>
        <v>0</v>
      </c>
      <c r="BJ15">
        <f t="shared" si="26"/>
        <v>0</v>
      </c>
      <c r="BK15">
        <f t="shared" si="27"/>
        <v>0</v>
      </c>
      <c r="BL15">
        <f t="shared" si="28"/>
        <v>0</v>
      </c>
      <c r="BM15">
        <f t="shared" si="29"/>
        <v>1</v>
      </c>
    </row>
    <row r="16" spans="1:65" ht="25">
      <c r="A16" s="19" t="s">
        <v>75</v>
      </c>
      <c r="B16" s="19" t="s">
        <v>328</v>
      </c>
      <c r="C16" s="19" t="s">
        <v>18</v>
      </c>
      <c r="D16" s="25" t="s">
        <v>327</v>
      </c>
      <c r="E16" s="21">
        <v>67500</v>
      </c>
      <c r="F16" s="19">
        <v>11</v>
      </c>
      <c r="G16" s="19">
        <v>11</v>
      </c>
      <c r="H16" s="19">
        <f t="shared" si="0"/>
        <v>1</v>
      </c>
      <c r="I16" s="19" t="s">
        <v>39</v>
      </c>
      <c r="J16" s="32" t="s">
        <v>77</v>
      </c>
      <c r="K16" s="33">
        <f t="shared" si="32"/>
        <v>0</v>
      </c>
      <c r="L16" s="33">
        <f t="shared" si="32"/>
        <v>0</v>
      </c>
      <c r="M16" s="33">
        <f t="shared" si="32"/>
        <v>0</v>
      </c>
      <c r="N16" s="33">
        <f t="shared" si="32"/>
        <v>0</v>
      </c>
      <c r="O16" s="33">
        <f t="shared" si="32"/>
        <v>0</v>
      </c>
      <c r="P16" s="33">
        <f t="shared" si="32"/>
        <v>0</v>
      </c>
      <c r="Q16" s="33">
        <f t="shared" si="32"/>
        <v>0</v>
      </c>
      <c r="R16" s="33">
        <f t="shared" si="32"/>
        <v>0</v>
      </c>
      <c r="S16" s="33">
        <f t="shared" si="32"/>
        <v>0</v>
      </c>
      <c r="T16" s="33">
        <f t="shared" si="32"/>
        <v>0</v>
      </c>
      <c r="U16" s="33">
        <f t="shared" si="33"/>
        <v>67500</v>
      </c>
      <c r="V16" s="33">
        <f t="shared" si="33"/>
        <v>0</v>
      </c>
      <c r="W16" s="33">
        <f t="shared" si="33"/>
        <v>0</v>
      </c>
      <c r="X16" s="33">
        <f t="shared" si="33"/>
        <v>0</v>
      </c>
      <c r="Y16" s="33">
        <f t="shared" si="33"/>
        <v>0</v>
      </c>
      <c r="Z16" s="33">
        <f t="shared" si="33"/>
        <v>0</v>
      </c>
      <c r="AA16" s="33">
        <f t="shared" si="33"/>
        <v>0</v>
      </c>
      <c r="AB16" s="33">
        <f t="shared" si="33"/>
        <v>0</v>
      </c>
      <c r="AC16" s="33">
        <f t="shared" si="33"/>
        <v>0</v>
      </c>
      <c r="AD16" s="33">
        <f t="shared" si="33"/>
        <v>0</v>
      </c>
      <c r="AE16" s="33">
        <f t="shared" si="34"/>
        <v>0</v>
      </c>
      <c r="AF16" s="33">
        <f t="shared" si="34"/>
        <v>0</v>
      </c>
      <c r="AG16" s="33">
        <f t="shared" si="34"/>
        <v>0</v>
      </c>
      <c r="AH16" s="33">
        <f t="shared" si="34"/>
        <v>0</v>
      </c>
      <c r="AI16" s="33">
        <f t="shared" si="34"/>
        <v>0</v>
      </c>
      <c r="AJ16" s="33">
        <f t="shared" si="34"/>
        <v>0</v>
      </c>
      <c r="AK16" s="14">
        <f t="shared" si="2"/>
        <v>0</v>
      </c>
      <c r="AM16">
        <f t="shared" si="3"/>
        <v>0</v>
      </c>
      <c r="AN16">
        <f t="shared" si="4"/>
        <v>0</v>
      </c>
      <c r="AO16">
        <f t="shared" si="5"/>
        <v>0</v>
      </c>
      <c r="AP16">
        <f t="shared" si="6"/>
        <v>0</v>
      </c>
      <c r="AQ16">
        <f t="shared" si="7"/>
        <v>0</v>
      </c>
      <c r="AR16">
        <f t="shared" si="8"/>
        <v>0</v>
      </c>
      <c r="AS16">
        <f t="shared" si="9"/>
        <v>0</v>
      </c>
      <c r="AT16">
        <f t="shared" si="10"/>
        <v>0</v>
      </c>
      <c r="AU16">
        <f t="shared" si="11"/>
        <v>0</v>
      </c>
      <c r="AV16">
        <f t="shared" si="12"/>
        <v>0</v>
      </c>
      <c r="AW16">
        <f t="shared" si="13"/>
        <v>1</v>
      </c>
      <c r="AX16">
        <f t="shared" si="14"/>
        <v>0</v>
      </c>
      <c r="AY16">
        <f t="shared" si="15"/>
        <v>0</v>
      </c>
      <c r="AZ16">
        <f t="shared" si="16"/>
        <v>0</v>
      </c>
      <c r="BA16">
        <f t="shared" si="17"/>
        <v>0</v>
      </c>
      <c r="BB16">
        <f t="shared" si="18"/>
        <v>0</v>
      </c>
      <c r="BC16">
        <f t="shared" si="19"/>
        <v>0</v>
      </c>
      <c r="BD16">
        <f t="shared" si="20"/>
        <v>0</v>
      </c>
      <c r="BE16">
        <f t="shared" si="21"/>
        <v>0</v>
      </c>
      <c r="BF16">
        <f t="shared" si="22"/>
        <v>0</v>
      </c>
      <c r="BG16">
        <f t="shared" si="23"/>
        <v>0</v>
      </c>
      <c r="BH16">
        <f t="shared" si="24"/>
        <v>0</v>
      </c>
      <c r="BI16">
        <f t="shared" si="25"/>
        <v>0</v>
      </c>
      <c r="BJ16">
        <f t="shared" si="26"/>
        <v>0</v>
      </c>
      <c r="BK16">
        <f t="shared" si="27"/>
        <v>0</v>
      </c>
      <c r="BL16">
        <f t="shared" si="28"/>
        <v>0</v>
      </c>
      <c r="BM16">
        <f t="shared" si="29"/>
        <v>1</v>
      </c>
    </row>
    <row r="17" spans="1:65" ht="25">
      <c r="A17" s="19" t="s">
        <v>78</v>
      </c>
      <c r="B17" s="19" t="s">
        <v>329</v>
      </c>
      <c r="C17" s="19" t="s">
        <v>18</v>
      </c>
      <c r="D17" s="25" t="s">
        <v>327</v>
      </c>
      <c r="E17" s="21">
        <v>360000</v>
      </c>
      <c r="F17" s="19">
        <v>12</v>
      </c>
      <c r="G17" s="19">
        <v>12</v>
      </c>
      <c r="H17" s="19">
        <f t="shared" si="0"/>
        <v>1</v>
      </c>
      <c r="I17" s="19" t="s">
        <v>39</v>
      </c>
      <c r="J17" s="32" t="s">
        <v>80</v>
      </c>
      <c r="K17" s="33">
        <f t="shared" si="32"/>
        <v>0</v>
      </c>
      <c r="L17" s="33">
        <f t="shared" si="32"/>
        <v>0</v>
      </c>
      <c r="M17" s="33">
        <f t="shared" si="32"/>
        <v>0</v>
      </c>
      <c r="N17" s="33">
        <f t="shared" si="32"/>
        <v>0</v>
      </c>
      <c r="O17" s="33">
        <f t="shared" si="32"/>
        <v>0</v>
      </c>
      <c r="P17" s="33">
        <f t="shared" si="32"/>
        <v>0</v>
      </c>
      <c r="Q17" s="33">
        <f t="shared" si="32"/>
        <v>0</v>
      </c>
      <c r="R17" s="33">
        <f t="shared" si="32"/>
        <v>0</v>
      </c>
      <c r="S17" s="33">
        <f t="shared" si="32"/>
        <v>0</v>
      </c>
      <c r="T17" s="33">
        <f t="shared" si="32"/>
        <v>0</v>
      </c>
      <c r="U17" s="33">
        <f t="shared" si="33"/>
        <v>0</v>
      </c>
      <c r="V17" s="33">
        <f t="shared" si="33"/>
        <v>360000</v>
      </c>
      <c r="W17" s="33">
        <f t="shared" si="33"/>
        <v>0</v>
      </c>
      <c r="X17" s="33">
        <f t="shared" si="33"/>
        <v>0</v>
      </c>
      <c r="Y17" s="33">
        <f t="shared" si="33"/>
        <v>0</v>
      </c>
      <c r="Z17" s="33">
        <f t="shared" si="33"/>
        <v>0</v>
      </c>
      <c r="AA17" s="33">
        <f t="shared" si="33"/>
        <v>0</v>
      </c>
      <c r="AB17" s="33">
        <f t="shared" si="33"/>
        <v>0</v>
      </c>
      <c r="AC17" s="33">
        <f t="shared" si="33"/>
        <v>0</v>
      </c>
      <c r="AD17" s="33">
        <f t="shared" si="33"/>
        <v>0</v>
      </c>
      <c r="AE17" s="33">
        <f t="shared" si="34"/>
        <v>0</v>
      </c>
      <c r="AF17" s="33">
        <f t="shared" si="34"/>
        <v>0</v>
      </c>
      <c r="AG17" s="33">
        <f t="shared" si="34"/>
        <v>0</v>
      </c>
      <c r="AH17" s="33">
        <f t="shared" si="34"/>
        <v>0</v>
      </c>
      <c r="AI17" s="33">
        <f t="shared" si="34"/>
        <v>0</v>
      </c>
      <c r="AJ17" s="33">
        <f t="shared" si="34"/>
        <v>0</v>
      </c>
      <c r="AK17" s="14">
        <f t="shared" si="2"/>
        <v>0</v>
      </c>
      <c r="AM17">
        <f t="shared" si="3"/>
        <v>0</v>
      </c>
      <c r="AN17">
        <f t="shared" si="4"/>
        <v>0</v>
      </c>
      <c r="AO17">
        <f t="shared" si="5"/>
        <v>0</v>
      </c>
      <c r="AP17">
        <f t="shared" si="6"/>
        <v>0</v>
      </c>
      <c r="AQ17">
        <f t="shared" si="7"/>
        <v>0</v>
      </c>
      <c r="AR17">
        <f t="shared" si="8"/>
        <v>0</v>
      </c>
      <c r="AS17">
        <f t="shared" si="9"/>
        <v>0</v>
      </c>
      <c r="AT17">
        <f t="shared" si="10"/>
        <v>0</v>
      </c>
      <c r="AU17">
        <f t="shared" si="11"/>
        <v>0</v>
      </c>
      <c r="AV17">
        <f t="shared" si="12"/>
        <v>0</v>
      </c>
      <c r="AW17">
        <f t="shared" si="13"/>
        <v>0</v>
      </c>
      <c r="AX17">
        <f t="shared" si="14"/>
        <v>1</v>
      </c>
      <c r="AY17">
        <f t="shared" si="15"/>
        <v>0</v>
      </c>
      <c r="AZ17">
        <f t="shared" si="16"/>
        <v>0</v>
      </c>
      <c r="BA17">
        <f t="shared" si="17"/>
        <v>0</v>
      </c>
      <c r="BB17">
        <f t="shared" si="18"/>
        <v>0</v>
      </c>
      <c r="BC17">
        <f t="shared" si="19"/>
        <v>0</v>
      </c>
      <c r="BD17">
        <f t="shared" si="20"/>
        <v>0</v>
      </c>
      <c r="BE17">
        <f t="shared" si="21"/>
        <v>0</v>
      </c>
      <c r="BF17">
        <f t="shared" si="22"/>
        <v>0</v>
      </c>
      <c r="BG17">
        <f t="shared" si="23"/>
        <v>0</v>
      </c>
      <c r="BH17">
        <f t="shared" si="24"/>
        <v>0</v>
      </c>
      <c r="BI17">
        <f t="shared" si="25"/>
        <v>0</v>
      </c>
      <c r="BJ17">
        <f t="shared" si="26"/>
        <v>0</v>
      </c>
      <c r="BK17">
        <f t="shared" si="27"/>
        <v>0</v>
      </c>
      <c r="BL17">
        <f t="shared" si="28"/>
        <v>0</v>
      </c>
      <c r="BM17">
        <f t="shared" si="29"/>
        <v>1</v>
      </c>
    </row>
    <row r="18" spans="1:65" ht="37.5">
      <c r="A18" s="19" t="s">
        <v>81</v>
      </c>
      <c r="B18" s="19" t="s">
        <v>330</v>
      </c>
      <c r="C18" s="19" t="s">
        <v>18</v>
      </c>
      <c r="D18" s="26" t="s">
        <v>331</v>
      </c>
      <c r="E18" s="21">
        <v>1800000</v>
      </c>
      <c r="F18" s="19">
        <v>13</v>
      </c>
      <c r="G18" s="19">
        <v>24</v>
      </c>
      <c r="H18" s="19">
        <f t="shared" si="0"/>
        <v>12</v>
      </c>
      <c r="I18" s="19" t="s">
        <v>39</v>
      </c>
      <c r="J18" s="32" t="s">
        <v>83</v>
      </c>
      <c r="K18" s="33">
        <f t="shared" ref="K18:AJ18" si="35">IF(AND(K$79&gt;=$F18,K$79&lt;=$G18),AM18/$BM$18*$E18,0)</f>
        <v>0</v>
      </c>
      <c r="L18" s="33">
        <f t="shared" si="35"/>
        <v>0</v>
      </c>
      <c r="M18" s="33">
        <f t="shared" si="35"/>
        <v>0</v>
      </c>
      <c r="N18" s="33">
        <f t="shared" si="35"/>
        <v>0</v>
      </c>
      <c r="O18" s="33">
        <f t="shared" si="35"/>
        <v>0</v>
      </c>
      <c r="P18" s="33">
        <f t="shared" si="35"/>
        <v>0</v>
      </c>
      <c r="Q18" s="33">
        <f t="shared" si="35"/>
        <v>0</v>
      </c>
      <c r="R18" s="33">
        <f t="shared" si="35"/>
        <v>0</v>
      </c>
      <c r="S18" s="33">
        <f t="shared" si="35"/>
        <v>0</v>
      </c>
      <c r="T18" s="33">
        <f t="shared" si="35"/>
        <v>0</v>
      </c>
      <c r="U18" s="33">
        <f t="shared" si="35"/>
        <v>0</v>
      </c>
      <c r="V18" s="33">
        <f t="shared" si="35"/>
        <v>0</v>
      </c>
      <c r="W18" s="33">
        <f t="shared" si="35"/>
        <v>42857.142857142855</v>
      </c>
      <c r="X18" s="33">
        <f t="shared" si="35"/>
        <v>85714.28571428571</v>
      </c>
      <c r="Y18" s="33">
        <f t="shared" si="35"/>
        <v>128571.42857142857</v>
      </c>
      <c r="Z18" s="33">
        <f t="shared" si="35"/>
        <v>171428.57142857142</v>
      </c>
      <c r="AA18" s="33">
        <f t="shared" si="35"/>
        <v>214285.71428571426</v>
      </c>
      <c r="AB18" s="33">
        <f t="shared" si="35"/>
        <v>257142.85714285713</v>
      </c>
      <c r="AC18" s="33">
        <f t="shared" si="35"/>
        <v>257142.85714285713</v>
      </c>
      <c r="AD18" s="33">
        <f t="shared" si="35"/>
        <v>214285.71428571426</v>
      </c>
      <c r="AE18" s="33">
        <f t="shared" si="35"/>
        <v>171428.57142857142</v>
      </c>
      <c r="AF18" s="33">
        <f t="shared" si="35"/>
        <v>128571.42857142857</v>
      </c>
      <c r="AG18" s="33">
        <f t="shared" si="35"/>
        <v>85714.28571428571</v>
      </c>
      <c r="AH18" s="33">
        <f t="shared" si="35"/>
        <v>42857.142857142855</v>
      </c>
      <c r="AI18" s="33">
        <f t="shared" si="35"/>
        <v>0</v>
      </c>
      <c r="AJ18" s="33">
        <f t="shared" si="35"/>
        <v>0</v>
      </c>
      <c r="AK18" s="14">
        <f t="shared" si="2"/>
        <v>0</v>
      </c>
      <c r="AM18">
        <f t="shared" si="3"/>
        <v>0</v>
      </c>
      <c r="AN18">
        <f t="shared" si="4"/>
        <v>0</v>
      </c>
      <c r="AO18">
        <f t="shared" si="5"/>
        <v>0</v>
      </c>
      <c r="AP18">
        <f t="shared" si="6"/>
        <v>0</v>
      </c>
      <c r="AQ18">
        <f t="shared" si="7"/>
        <v>0</v>
      </c>
      <c r="AR18">
        <f t="shared" si="8"/>
        <v>0</v>
      </c>
      <c r="AS18">
        <f t="shared" si="9"/>
        <v>0</v>
      </c>
      <c r="AT18">
        <f t="shared" si="10"/>
        <v>0</v>
      </c>
      <c r="AU18">
        <f t="shared" si="11"/>
        <v>0</v>
      </c>
      <c r="AV18">
        <f t="shared" si="12"/>
        <v>0</v>
      </c>
      <c r="AW18">
        <f t="shared" si="13"/>
        <v>0</v>
      </c>
      <c r="AX18">
        <f t="shared" si="14"/>
        <v>0</v>
      </c>
      <c r="AY18">
        <f t="shared" si="15"/>
        <v>1</v>
      </c>
      <c r="AZ18">
        <f t="shared" si="16"/>
        <v>2</v>
      </c>
      <c r="BA18">
        <f t="shared" si="17"/>
        <v>3</v>
      </c>
      <c r="BB18">
        <f t="shared" si="18"/>
        <v>4</v>
      </c>
      <c r="BC18">
        <f t="shared" si="19"/>
        <v>5</v>
      </c>
      <c r="BD18">
        <f t="shared" si="20"/>
        <v>6</v>
      </c>
      <c r="BE18">
        <f t="shared" si="21"/>
        <v>6</v>
      </c>
      <c r="BF18">
        <f t="shared" si="22"/>
        <v>5</v>
      </c>
      <c r="BG18">
        <f t="shared" si="23"/>
        <v>4</v>
      </c>
      <c r="BH18">
        <f t="shared" si="24"/>
        <v>3</v>
      </c>
      <c r="BI18">
        <f t="shared" si="25"/>
        <v>2</v>
      </c>
      <c r="BJ18">
        <f t="shared" si="26"/>
        <v>1</v>
      </c>
      <c r="BK18">
        <f t="shared" si="27"/>
        <v>0</v>
      </c>
      <c r="BL18">
        <f t="shared" si="28"/>
        <v>0</v>
      </c>
      <c r="BM18">
        <f t="shared" si="29"/>
        <v>42</v>
      </c>
    </row>
    <row r="19" spans="1:65">
      <c r="A19" s="19" t="s">
        <v>85</v>
      </c>
      <c r="B19" s="19" t="s">
        <v>332</v>
      </c>
      <c r="C19" s="19" t="s">
        <v>18</v>
      </c>
      <c r="D19" s="25" t="s">
        <v>327</v>
      </c>
      <c r="E19" s="21">
        <v>6000</v>
      </c>
      <c r="F19" s="19">
        <v>21</v>
      </c>
      <c r="G19" s="19">
        <v>21</v>
      </c>
      <c r="H19" s="19">
        <f t="shared" si="0"/>
        <v>1</v>
      </c>
      <c r="I19" s="19" t="s">
        <v>39</v>
      </c>
      <c r="J19" s="32" t="s">
        <v>73</v>
      </c>
      <c r="K19" s="33">
        <f t="shared" ref="K19:T21" si="36">IF(AND(K$79&gt;=$F19,K$79&lt;=$G19),$E19/$H19,0)</f>
        <v>0</v>
      </c>
      <c r="L19" s="33">
        <f t="shared" si="36"/>
        <v>0</v>
      </c>
      <c r="M19" s="33">
        <f t="shared" si="36"/>
        <v>0</v>
      </c>
      <c r="N19" s="33">
        <f t="shared" si="36"/>
        <v>0</v>
      </c>
      <c r="O19" s="33">
        <f t="shared" si="36"/>
        <v>0</v>
      </c>
      <c r="P19" s="33">
        <f t="shared" si="36"/>
        <v>0</v>
      </c>
      <c r="Q19" s="33">
        <f t="shared" si="36"/>
        <v>0</v>
      </c>
      <c r="R19" s="33">
        <f t="shared" si="36"/>
        <v>0</v>
      </c>
      <c r="S19" s="33">
        <f t="shared" si="36"/>
        <v>0</v>
      </c>
      <c r="T19" s="33">
        <f t="shared" si="36"/>
        <v>0</v>
      </c>
      <c r="U19" s="33">
        <f t="shared" ref="U19:AD21" si="37">IF(AND(U$79&gt;=$F19,U$79&lt;=$G19),$E19/$H19,0)</f>
        <v>0</v>
      </c>
      <c r="V19" s="33">
        <f t="shared" si="37"/>
        <v>0</v>
      </c>
      <c r="W19" s="33">
        <f t="shared" si="37"/>
        <v>0</v>
      </c>
      <c r="X19" s="33">
        <f t="shared" si="37"/>
        <v>0</v>
      </c>
      <c r="Y19" s="33">
        <f t="shared" si="37"/>
        <v>0</v>
      </c>
      <c r="Z19" s="33">
        <f t="shared" si="37"/>
        <v>0</v>
      </c>
      <c r="AA19" s="33">
        <f t="shared" si="37"/>
        <v>0</v>
      </c>
      <c r="AB19" s="33">
        <f t="shared" si="37"/>
        <v>0</v>
      </c>
      <c r="AC19" s="33">
        <f t="shared" si="37"/>
        <v>0</v>
      </c>
      <c r="AD19" s="33">
        <f t="shared" si="37"/>
        <v>0</v>
      </c>
      <c r="AE19" s="33">
        <f t="shared" ref="AE19:AJ21" si="38">IF(AND(AE$79&gt;=$F19,AE$79&lt;=$G19),$E19/$H19,0)</f>
        <v>6000</v>
      </c>
      <c r="AF19" s="33">
        <f t="shared" si="38"/>
        <v>0</v>
      </c>
      <c r="AG19" s="33">
        <f t="shared" si="38"/>
        <v>0</v>
      </c>
      <c r="AH19" s="33">
        <f t="shared" si="38"/>
        <v>0</v>
      </c>
      <c r="AI19" s="33">
        <f t="shared" si="38"/>
        <v>0</v>
      </c>
      <c r="AJ19" s="33">
        <f t="shared" si="38"/>
        <v>0</v>
      </c>
      <c r="AK19" s="14">
        <f t="shared" si="2"/>
        <v>0</v>
      </c>
      <c r="AM19">
        <f t="shared" si="3"/>
        <v>0</v>
      </c>
      <c r="AN19">
        <f t="shared" si="4"/>
        <v>0</v>
      </c>
      <c r="AO19">
        <f t="shared" si="5"/>
        <v>0</v>
      </c>
      <c r="AP19">
        <f t="shared" si="6"/>
        <v>0</v>
      </c>
      <c r="AQ19">
        <f t="shared" si="7"/>
        <v>0</v>
      </c>
      <c r="AR19">
        <f t="shared" si="8"/>
        <v>0</v>
      </c>
      <c r="AS19">
        <f t="shared" si="9"/>
        <v>0</v>
      </c>
      <c r="AT19">
        <f t="shared" si="10"/>
        <v>0</v>
      </c>
      <c r="AU19">
        <f t="shared" si="11"/>
        <v>0</v>
      </c>
      <c r="AV19">
        <f t="shared" si="12"/>
        <v>0</v>
      </c>
      <c r="AW19">
        <f t="shared" si="13"/>
        <v>0</v>
      </c>
      <c r="AX19">
        <f t="shared" si="14"/>
        <v>0</v>
      </c>
      <c r="AY19">
        <f t="shared" si="15"/>
        <v>0</v>
      </c>
      <c r="AZ19">
        <f t="shared" si="16"/>
        <v>0</v>
      </c>
      <c r="BA19">
        <f t="shared" si="17"/>
        <v>0</v>
      </c>
      <c r="BB19">
        <f t="shared" si="18"/>
        <v>0</v>
      </c>
      <c r="BC19">
        <f t="shared" si="19"/>
        <v>0</v>
      </c>
      <c r="BD19">
        <f t="shared" si="20"/>
        <v>0</v>
      </c>
      <c r="BE19">
        <f t="shared" si="21"/>
        <v>0</v>
      </c>
      <c r="BF19">
        <f t="shared" si="22"/>
        <v>0</v>
      </c>
      <c r="BG19">
        <f t="shared" si="23"/>
        <v>1</v>
      </c>
      <c r="BH19">
        <f t="shared" si="24"/>
        <v>0</v>
      </c>
      <c r="BI19">
        <f t="shared" si="25"/>
        <v>0</v>
      </c>
      <c r="BJ19">
        <f t="shared" si="26"/>
        <v>0</v>
      </c>
      <c r="BK19">
        <f t="shared" si="27"/>
        <v>0</v>
      </c>
      <c r="BL19">
        <f t="shared" si="28"/>
        <v>0</v>
      </c>
      <c r="BM19">
        <f t="shared" si="29"/>
        <v>1</v>
      </c>
    </row>
    <row r="20" spans="1:65" ht="25">
      <c r="A20" s="19" t="s">
        <v>88</v>
      </c>
      <c r="B20" s="19" t="s">
        <v>333</v>
      </c>
      <c r="C20" s="19" t="s">
        <v>18</v>
      </c>
      <c r="D20" s="25" t="s">
        <v>327</v>
      </c>
      <c r="E20" s="21">
        <v>18000</v>
      </c>
      <c r="F20" s="19">
        <v>21</v>
      </c>
      <c r="G20" s="19">
        <v>21</v>
      </c>
      <c r="H20" s="19">
        <f t="shared" si="0"/>
        <v>1</v>
      </c>
      <c r="I20" s="19" t="s">
        <v>39</v>
      </c>
      <c r="J20" s="32" t="s">
        <v>90</v>
      </c>
      <c r="K20" s="33">
        <f t="shared" si="36"/>
        <v>0</v>
      </c>
      <c r="L20" s="33">
        <f t="shared" si="36"/>
        <v>0</v>
      </c>
      <c r="M20" s="33">
        <f t="shared" si="36"/>
        <v>0</v>
      </c>
      <c r="N20" s="33">
        <f t="shared" si="36"/>
        <v>0</v>
      </c>
      <c r="O20" s="33">
        <f t="shared" si="36"/>
        <v>0</v>
      </c>
      <c r="P20" s="33">
        <f t="shared" si="36"/>
        <v>0</v>
      </c>
      <c r="Q20" s="33">
        <f t="shared" si="36"/>
        <v>0</v>
      </c>
      <c r="R20" s="33">
        <f t="shared" si="36"/>
        <v>0</v>
      </c>
      <c r="S20" s="33">
        <f t="shared" si="36"/>
        <v>0</v>
      </c>
      <c r="T20" s="33">
        <f t="shared" si="36"/>
        <v>0</v>
      </c>
      <c r="U20" s="33">
        <f t="shared" si="37"/>
        <v>0</v>
      </c>
      <c r="V20" s="33">
        <f t="shared" si="37"/>
        <v>0</v>
      </c>
      <c r="W20" s="33">
        <f t="shared" si="37"/>
        <v>0</v>
      </c>
      <c r="X20" s="33">
        <f t="shared" si="37"/>
        <v>0</v>
      </c>
      <c r="Y20" s="33">
        <f t="shared" si="37"/>
        <v>0</v>
      </c>
      <c r="Z20" s="33">
        <f t="shared" si="37"/>
        <v>0</v>
      </c>
      <c r="AA20" s="33">
        <f t="shared" si="37"/>
        <v>0</v>
      </c>
      <c r="AB20" s="33">
        <f t="shared" si="37"/>
        <v>0</v>
      </c>
      <c r="AC20" s="33">
        <f t="shared" si="37"/>
        <v>0</v>
      </c>
      <c r="AD20" s="33">
        <f t="shared" si="37"/>
        <v>0</v>
      </c>
      <c r="AE20" s="33">
        <f t="shared" si="38"/>
        <v>18000</v>
      </c>
      <c r="AF20" s="33">
        <f t="shared" si="38"/>
        <v>0</v>
      </c>
      <c r="AG20" s="33">
        <f t="shared" si="38"/>
        <v>0</v>
      </c>
      <c r="AH20" s="33">
        <f t="shared" si="38"/>
        <v>0</v>
      </c>
      <c r="AI20" s="33">
        <f t="shared" si="38"/>
        <v>0</v>
      </c>
      <c r="AJ20" s="33">
        <f t="shared" si="38"/>
        <v>0</v>
      </c>
      <c r="AK20" s="14">
        <f t="shared" si="2"/>
        <v>0</v>
      </c>
      <c r="AM20">
        <f t="shared" si="3"/>
        <v>0</v>
      </c>
      <c r="AN20">
        <f t="shared" si="4"/>
        <v>0</v>
      </c>
      <c r="AO20">
        <f t="shared" si="5"/>
        <v>0</v>
      </c>
      <c r="AP20">
        <f t="shared" si="6"/>
        <v>0</v>
      </c>
      <c r="AQ20">
        <f t="shared" si="7"/>
        <v>0</v>
      </c>
      <c r="AR20">
        <f t="shared" si="8"/>
        <v>0</v>
      </c>
      <c r="AS20">
        <f t="shared" si="9"/>
        <v>0</v>
      </c>
      <c r="AT20">
        <f t="shared" si="10"/>
        <v>0</v>
      </c>
      <c r="AU20">
        <f t="shared" si="11"/>
        <v>0</v>
      </c>
      <c r="AV20">
        <f t="shared" si="12"/>
        <v>0</v>
      </c>
      <c r="AW20">
        <f t="shared" si="13"/>
        <v>0</v>
      </c>
      <c r="AX20">
        <f t="shared" si="14"/>
        <v>0</v>
      </c>
      <c r="AY20">
        <f t="shared" si="15"/>
        <v>0</v>
      </c>
      <c r="AZ20">
        <f t="shared" si="16"/>
        <v>0</v>
      </c>
      <c r="BA20">
        <f t="shared" si="17"/>
        <v>0</v>
      </c>
      <c r="BB20">
        <f t="shared" si="18"/>
        <v>0</v>
      </c>
      <c r="BC20">
        <f t="shared" si="19"/>
        <v>0</v>
      </c>
      <c r="BD20">
        <f t="shared" si="20"/>
        <v>0</v>
      </c>
      <c r="BE20">
        <f t="shared" si="21"/>
        <v>0</v>
      </c>
      <c r="BF20">
        <f t="shared" si="22"/>
        <v>0</v>
      </c>
      <c r="BG20">
        <f t="shared" si="23"/>
        <v>1</v>
      </c>
      <c r="BH20">
        <f t="shared" si="24"/>
        <v>0</v>
      </c>
      <c r="BI20">
        <f t="shared" si="25"/>
        <v>0</v>
      </c>
      <c r="BJ20">
        <f t="shared" si="26"/>
        <v>0</v>
      </c>
      <c r="BK20">
        <f t="shared" si="27"/>
        <v>0</v>
      </c>
      <c r="BL20">
        <f t="shared" si="28"/>
        <v>0</v>
      </c>
      <c r="BM20">
        <f t="shared" si="29"/>
        <v>1</v>
      </c>
    </row>
    <row r="21" spans="1:65">
      <c r="A21" s="19" t="s">
        <v>91</v>
      </c>
      <c r="B21" s="19" t="s">
        <v>334</v>
      </c>
      <c r="C21" s="19" t="s">
        <v>18</v>
      </c>
      <c r="D21" s="25" t="s">
        <v>327</v>
      </c>
      <c r="E21" s="21">
        <v>96000</v>
      </c>
      <c r="F21" s="19">
        <v>22</v>
      </c>
      <c r="G21" s="19">
        <v>22</v>
      </c>
      <c r="H21" s="19">
        <f t="shared" si="0"/>
        <v>1</v>
      </c>
      <c r="I21" s="19" t="s">
        <v>39</v>
      </c>
      <c r="J21" s="32" t="s">
        <v>93</v>
      </c>
      <c r="K21" s="33">
        <f t="shared" si="36"/>
        <v>0</v>
      </c>
      <c r="L21" s="33">
        <f t="shared" si="36"/>
        <v>0</v>
      </c>
      <c r="M21" s="33">
        <f t="shared" si="36"/>
        <v>0</v>
      </c>
      <c r="N21" s="33">
        <f t="shared" si="36"/>
        <v>0</v>
      </c>
      <c r="O21" s="33">
        <f t="shared" si="36"/>
        <v>0</v>
      </c>
      <c r="P21" s="33">
        <f t="shared" si="36"/>
        <v>0</v>
      </c>
      <c r="Q21" s="33">
        <f t="shared" si="36"/>
        <v>0</v>
      </c>
      <c r="R21" s="33">
        <f t="shared" si="36"/>
        <v>0</v>
      </c>
      <c r="S21" s="33">
        <f t="shared" si="36"/>
        <v>0</v>
      </c>
      <c r="T21" s="33">
        <f t="shared" si="36"/>
        <v>0</v>
      </c>
      <c r="U21" s="33">
        <f t="shared" si="37"/>
        <v>0</v>
      </c>
      <c r="V21" s="33">
        <f t="shared" si="37"/>
        <v>0</v>
      </c>
      <c r="W21" s="33">
        <f t="shared" si="37"/>
        <v>0</v>
      </c>
      <c r="X21" s="33">
        <f t="shared" si="37"/>
        <v>0</v>
      </c>
      <c r="Y21" s="33">
        <f t="shared" si="37"/>
        <v>0</v>
      </c>
      <c r="Z21" s="33">
        <f t="shared" si="37"/>
        <v>0</v>
      </c>
      <c r="AA21" s="33">
        <f t="shared" si="37"/>
        <v>0</v>
      </c>
      <c r="AB21" s="33">
        <f t="shared" si="37"/>
        <v>0</v>
      </c>
      <c r="AC21" s="33">
        <f t="shared" si="37"/>
        <v>0</v>
      </c>
      <c r="AD21" s="33">
        <f t="shared" si="37"/>
        <v>0</v>
      </c>
      <c r="AE21" s="33">
        <f t="shared" si="38"/>
        <v>0</v>
      </c>
      <c r="AF21" s="33">
        <f t="shared" si="38"/>
        <v>96000</v>
      </c>
      <c r="AG21" s="33">
        <f t="shared" si="38"/>
        <v>0</v>
      </c>
      <c r="AH21" s="33">
        <f t="shared" si="38"/>
        <v>0</v>
      </c>
      <c r="AI21" s="33">
        <f t="shared" si="38"/>
        <v>0</v>
      </c>
      <c r="AJ21" s="33">
        <f t="shared" si="38"/>
        <v>0</v>
      </c>
      <c r="AK21" s="14">
        <f t="shared" si="2"/>
        <v>0</v>
      </c>
      <c r="AM21">
        <f t="shared" si="3"/>
        <v>0</v>
      </c>
      <c r="AN21">
        <f t="shared" si="4"/>
        <v>0</v>
      </c>
      <c r="AO21">
        <f t="shared" si="5"/>
        <v>0</v>
      </c>
      <c r="AP21">
        <f t="shared" si="6"/>
        <v>0</v>
      </c>
      <c r="AQ21">
        <f t="shared" si="7"/>
        <v>0</v>
      </c>
      <c r="AR21">
        <f t="shared" si="8"/>
        <v>0</v>
      </c>
      <c r="AS21">
        <f t="shared" si="9"/>
        <v>0</v>
      </c>
      <c r="AT21">
        <f t="shared" si="10"/>
        <v>0</v>
      </c>
      <c r="AU21">
        <f t="shared" si="11"/>
        <v>0</v>
      </c>
      <c r="AV21">
        <f t="shared" si="12"/>
        <v>0</v>
      </c>
      <c r="AW21">
        <f t="shared" si="13"/>
        <v>0</v>
      </c>
      <c r="AX21">
        <f t="shared" si="14"/>
        <v>0</v>
      </c>
      <c r="AY21">
        <f t="shared" si="15"/>
        <v>0</v>
      </c>
      <c r="AZ21">
        <f t="shared" si="16"/>
        <v>0</v>
      </c>
      <c r="BA21">
        <f t="shared" si="17"/>
        <v>0</v>
      </c>
      <c r="BB21">
        <f t="shared" si="18"/>
        <v>0</v>
      </c>
      <c r="BC21">
        <f t="shared" si="19"/>
        <v>0</v>
      </c>
      <c r="BD21">
        <f t="shared" si="20"/>
        <v>0</v>
      </c>
      <c r="BE21">
        <f t="shared" si="21"/>
        <v>0</v>
      </c>
      <c r="BF21">
        <f t="shared" si="22"/>
        <v>0</v>
      </c>
      <c r="BG21">
        <f t="shared" si="23"/>
        <v>0</v>
      </c>
      <c r="BH21">
        <f t="shared" si="24"/>
        <v>1</v>
      </c>
      <c r="BI21">
        <f t="shared" si="25"/>
        <v>0</v>
      </c>
      <c r="BJ21">
        <f t="shared" si="26"/>
        <v>0</v>
      </c>
      <c r="BK21">
        <f t="shared" si="27"/>
        <v>0</v>
      </c>
      <c r="BL21">
        <f t="shared" si="28"/>
        <v>0</v>
      </c>
      <c r="BM21">
        <f t="shared" si="29"/>
        <v>1</v>
      </c>
    </row>
    <row r="22" spans="1:65" ht="50">
      <c r="A22" s="19" t="s">
        <v>94</v>
      </c>
      <c r="B22" s="19" t="s">
        <v>335</v>
      </c>
      <c r="C22" s="19" t="s">
        <v>18</v>
      </c>
      <c r="D22" s="26" t="s">
        <v>331</v>
      </c>
      <c r="E22" s="21">
        <v>280000</v>
      </c>
      <c r="F22" s="19">
        <v>23</v>
      </c>
      <c r="G22" s="19">
        <v>26</v>
      </c>
      <c r="H22" s="19">
        <f t="shared" si="0"/>
        <v>4</v>
      </c>
      <c r="I22" s="19" t="s">
        <v>39</v>
      </c>
      <c r="J22" s="32" t="s">
        <v>96</v>
      </c>
      <c r="K22" s="33">
        <f t="shared" ref="K22:AJ22" si="39">IF(AND(K$79&gt;=$F22,K$79&lt;=$G22),AM22/$BM$22*$E22,0)</f>
        <v>0</v>
      </c>
      <c r="L22" s="33">
        <f t="shared" si="39"/>
        <v>0</v>
      </c>
      <c r="M22" s="33">
        <f t="shared" si="39"/>
        <v>0</v>
      </c>
      <c r="N22" s="33">
        <f t="shared" si="39"/>
        <v>0</v>
      </c>
      <c r="O22" s="33">
        <f t="shared" si="39"/>
        <v>0</v>
      </c>
      <c r="P22" s="33">
        <f t="shared" si="39"/>
        <v>0</v>
      </c>
      <c r="Q22" s="33">
        <f t="shared" si="39"/>
        <v>0</v>
      </c>
      <c r="R22" s="33">
        <f t="shared" si="39"/>
        <v>0</v>
      </c>
      <c r="S22" s="33">
        <f t="shared" si="39"/>
        <v>0</v>
      </c>
      <c r="T22" s="33">
        <f t="shared" si="39"/>
        <v>0</v>
      </c>
      <c r="U22" s="33">
        <f t="shared" si="39"/>
        <v>0</v>
      </c>
      <c r="V22" s="33">
        <f t="shared" si="39"/>
        <v>0</v>
      </c>
      <c r="W22" s="33">
        <f t="shared" si="39"/>
        <v>0</v>
      </c>
      <c r="X22" s="33">
        <f t="shared" si="39"/>
        <v>0</v>
      </c>
      <c r="Y22" s="33">
        <f t="shared" si="39"/>
        <v>0</v>
      </c>
      <c r="Z22" s="33">
        <f t="shared" si="39"/>
        <v>0</v>
      </c>
      <c r="AA22" s="33">
        <f t="shared" si="39"/>
        <v>0</v>
      </c>
      <c r="AB22" s="33">
        <f t="shared" si="39"/>
        <v>0</v>
      </c>
      <c r="AC22" s="33">
        <f t="shared" si="39"/>
        <v>0</v>
      </c>
      <c r="AD22" s="33">
        <f t="shared" si="39"/>
        <v>0</v>
      </c>
      <c r="AE22" s="33">
        <f t="shared" si="39"/>
        <v>0</v>
      </c>
      <c r="AF22" s="33">
        <f t="shared" si="39"/>
        <v>0</v>
      </c>
      <c r="AG22" s="33">
        <f t="shared" si="39"/>
        <v>46666.666666666664</v>
      </c>
      <c r="AH22" s="33">
        <f t="shared" si="39"/>
        <v>93333.333333333328</v>
      </c>
      <c r="AI22" s="33">
        <f t="shared" si="39"/>
        <v>93333.333333333328</v>
      </c>
      <c r="AJ22" s="33">
        <f t="shared" si="39"/>
        <v>46666.666666666664</v>
      </c>
      <c r="AK22" s="14">
        <f t="shared" si="2"/>
        <v>0</v>
      </c>
      <c r="AM22">
        <f t="shared" si="3"/>
        <v>0</v>
      </c>
      <c r="AN22">
        <f t="shared" si="4"/>
        <v>0</v>
      </c>
      <c r="AO22">
        <f t="shared" si="5"/>
        <v>0</v>
      </c>
      <c r="AP22">
        <f t="shared" si="6"/>
        <v>0</v>
      </c>
      <c r="AQ22">
        <f t="shared" si="7"/>
        <v>0</v>
      </c>
      <c r="AR22">
        <f t="shared" si="8"/>
        <v>0</v>
      </c>
      <c r="AS22">
        <f t="shared" si="9"/>
        <v>0</v>
      </c>
      <c r="AT22">
        <f t="shared" si="10"/>
        <v>0</v>
      </c>
      <c r="AU22">
        <f t="shared" si="11"/>
        <v>0</v>
      </c>
      <c r="AV22">
        <f t="shared" si="12"/>
        <v>0</v>
      </c>
      <c r="AW22">
        <f t="shared" si="13"/>
        <v>0</v>
      </c>
      <c r="AX22">
        <f t="shared" si="14"/>
        <v>0</v>
      </c>
      <c r="AY22">
        <f t="shared" si="15"/>
        <v>0</v>
      </c>
      <c r="AZ22">
        <f t="shared" si="16"/>
        <v>0</v>
      </c>
      <c r="BA22">
        <f t="shared" si="17"/>
        <v>0</v>
      </c>
      <c r="BB22">
        <f t="shared" si="18"/>
        <v>0</v>
      </c>
      <c r="BC22">
        <f t="shared" si="19"/>
        <v>0</v>
      </c>
      <c r="BD22">
        <f t="shared" si="20"/>
        <v>0</v>
      </c>
      <c r="BE22">
        <f t="shared" si="21"/>
        <v>0</v>
      </c>
      <c r="BF22">
        <f t="shared" si="22"/>
        <v>0</v>
      </c>
      <c r="BG22">
        <f t="shared" si="23"/>
        <v>0</v>
      </c>
      <c r="BH22">
        <f t="shared" si="24"/>
        <v>0</v>
      </c>
      <c r="BI22">
        <f t="shared" si="25"/>
        <v>1</v>
      </c>
      <c r="BJ22">
        <f t="shared" si="26"/>
        <v>2</v>
      </c>
      <c r="BK22">
        <f t="shared" si="27"/>
        <v>2</v>
      </c>
      <c r="BL22">
        <f t="shared" si="28"/>
        <v>1</v>
      </c>
      <c r="BM22">
        <f t="shared" si="29"/>
        <v>6</v>
      </c>
    </row>
    <row r="23" spans="1:65" ht="25">
      <c r="A23" s="19" t="s">
        <v>97</v>
      </c>
      <c r="B23" s="19" t="s">
        <v>336</v>
      </c>
      <c r="C23" s="19" t="s">
        <v>19</v>
      </c>
      <c r="D23" s="25" t="s">
        <v>327</v>
      </c>
      <c r="E23" s="21">
        <v>38000</v>
      </c>
      <c r="F23" s="19">
        <v>22</v>
      </c>
      <c r="G23" s="19">
        <v>22</v>
      </c>
      <c r="H23" s="19">
        <f t="shared" si="0"/>
        <v>1</v>
      </c>
      <c r="I23" s="19" t="s">
        <v>39</v>
      </c>
      <c r="J23" s="32" t="s">
        <v>100</v>
      </c>
      <c r="K23" s="33">
        <f t="shared" ref="K23:T25" si="40">IF(AND(K$79&gt;=$F23,K$79&lt;=$G23),$E23/$H23,0)</f>
        <v>0</v>
      </c>
      <c r="L23" s="33">
        <f t="shared" si="40"/>
        <v>0</v>
      </c>
      <c r="M23" s="33">
        <f t="shared" si="40"/>
        <v>0</v>
      </c>
      <c r="N23" s="33">
        <f t="shared" si="40"/>
        <v>0</v>
      </c>
      <c r="O23" s="33">
        <f t="shared" si="40"/>
        <v>0</v>
      </c>
      <c r="P23" s="33">
        <f t="shared" si="40"/>
        <v>0</v>
      </c>
      <c r="Q23" s="33">
        <f t="shared" si="40"/>
        <v>0</v>
      </c>
      <c r="R23" s="33">
        <f t="shared" si="40"/>
        <v>0</v>
      </c>
      <c r="S23" s="33">
        <f t="shared" si="40"/>
        <v>0</v>
      </c>
      <c r="T23" s="33">
        <f t="shared" si="40"/>
        <v>0</v>
      </c>
      <c r="U23" s="33">
        <f t="shared" ref="U23:AD25" si="41">IF(AND(U$79&gt;=$F23,U$79&lt;=$G23),$E23/$H23,0)</f>
        <v>0</v>
      </c>
      <c r="V23" s="33">
        <f t="shared" si="41"/>
        <v>0</v>
      </c>
      <c r="W23" s="33">
        <f t="shared" si="41"/>
        <v>0</v>
      </c>
      <c r="X23" s="33">
        <f t="shared" si="41"/>
        <v>0</v>
      </c>
      <c r="Y23" s="33">
        <f t="shared" si="41"/>
        <v>0</v>
      </c>
      <c r="Z23" s="33">
        <f t="shared" si="41"/>
        <v>0</v>
      </c>
      <c r="AA23" s="33">
        <f t="shared" si="41"/>
        <v>0</v>
      </c>
      <c r="AB23" s="33">
        <f t="shared" si="41"/>
        <v>0</v>
      </c>
      <c r="AC23" s="33">
        <f t="shared" si="41"/>
        <v>0</v>
      </c>
      <c r="AD23" s="33">
        <f t="shared" si="41"/>
        <v>0</v>
      </c>
      <c r="AE23" s="33">
        <f t="shared" ref="AE23:AJ25" si="42">IF(AND(AE$79&gt;=$F23,AE$79&lt;=$G23),$E23/$H23,0)</f>
        <v>0</v>
      </c>
      <c r="AF23" s="33">
        <f t="shared" si="42"/>
        <v>38000</v>
      </c>
      <c r="AG23" s="33">
        <f t="shared" si="42"/>
        <v>0</v>
      </c>
      <c r="AH23" s="33">
        <f t="shared" si="42"/>
        <v>0</v>
      </c>
      <c r="AI23" s="33">
        <f t="shared" si="42"/>
        <v>0</v>
      </c>
      <c r="AJ23" s="33">
        <f t="shared" si="42"/>
        <v>0</v>
      </c>
      <c r="AK23" s="14">
        <f t="shared" si="2"/>
        <v>0</v>
      </c>
      <c r="AM23">
        <f t="shared" si="3"/>
        <v>0</v>
      </c>
      <c r="AN23">
        <f t="shared" si="4"/>
        <v>0</v>
      </c>
      <c r="AO23">
        <f t="shared" si="5"/>
        <v>0</v>
      </c>
      <c r="AP23">
        <f t="shared" si="6"/>
        <v>0</v>
      </c>
      <c r="AQ23">
        <f t="shared" si="7"/>
        <v>0</v>
      </c>
      <c r="AR23">
        <f t="shared" si="8"/>
        <v>0</v>
      </c>
      <c r="AS23">
        <f t="shared" si="9"/>
        <v>0</v>
      </c>
      <c r="AT23">
        <f t="shared" si="10"/>
        <v>0</v>
      </c>
      <c r="AU23">
        <f t="shared" si="11"/>
        <v>0</v>
      </c>
      <c r="AV23">
        <f t="shared" si="12"/>
        <v>0</v>
      </c>
      <c r="AW23">
        <f t="shared" si="13"/>
        <v>0</v>
      </c>
      <c r="AX23">
        <f t="shared" si="14"/>
        <v>0</v>
      </c>
      <c r="AY23">
        <f t="shared" si="15"/>
        <v>0</v>
      </c>
      <c r="AZ23">
        <f t="shared" si="16"/>
        <v>0</v>
      </c>
      <c r="BA23">
        <f t="shared" si="17"/>
        <v>0</v>
      </c>
      <c r="BB23">
        <f t="shared" si="18"/>
        <v>0</v>
      </c>
      <c r="BC23">
        <f t="shared" si="19"/>
        <v>0</v>
      </c>
      <c r="BD23">
        <f t="shared" si="20"/>
        <v>0</v>
      </c>
      <c r="BE23">
        <f t="shared" si="21"/>
        <v>0</v>
      </c>
      <c r="BF23">
        <f t="shared" si="22"/>
        <v>0</v>
      </c>
      <c r="BG23">
        <f t="shared" si="23"/>
        <v>0</v>
      </c>
      <c r="BH23">
        <f t="shared" si="24"/>
        <v>1</v>
      </c>
      <c r="BI23">
        <f t="shared" si="25"/>
        <v>0</v>
      </c>
      <c r="BJ23">
        <f t="shared" si="26"/>
        <v>0</v>
      </c>
      <c r="BK23">
        <f t="shared" si="27"/>
        <v>0</v>
      </c>
      <c r="BL23">
        <f t="shared" si="28"/>
        <v>0</v>
      </c>
      <c r="BM23">
        <f t="shared" si="29"/>
        <v>1</v>
      </c>
    </row>
    <row r="24" spans="1:65" ht="25">
      <c r="A24" s="19" t="s">
        <v>101</v>
      </c>
      <c r="B24" s="19" t="s">
        <v>337</v>
      </c>
      <c r="C24" s="19" t="s">
        <v>19</v>
      </c>
      <c r="D24" s="25" t="s">
        <v>327</v>
      </c>
      <c r="E24" s="21">
        <v>114000</v>
      </c>
      <c r="F24" s="19">
        <v>23</v>
      </c>
      <c r="G24" s="19">
        <v>23</v>
      </c>
      <c r="H24" s="19">
        <f t="shared" si="0"/>
        <v>1</v>
      </c>
      <c r="I24" s="19" t="s">
        <v>39</v>
      </c>
      <c r="J24" s="32" t="s">
        <v>103</v>
      </c>
      <c r="K24" s="33">
        <f t="shared" si="40"/>
        <v>0</v>
      </c>
      <c r="L24" s="33">
        <f t="shared" si="40"/>
        <v>0</v>
      </c>
      <c r="M24" s="33">
        <f t="shared" si="40"/>
        <v>0</v>
      </c>
      <c r="N24" s="33">
        <f t="shared" si="40"/>
        <v>0</v>
      </c>
      <c r="O24" s="33">
        <f t="shared" si="40"/>
        <v>0</v>
      </c>
      <c r="P24" s="33">
        <f t="shared" si="40"/>
        <v>0</v>
      </c>
      <c r="Q24" s="33">
        <f t="shared" si="40"/>
        <v>0</v>
      </c>
      <c r="R24" s="33">
        <f t="shared" si="40"/>
        <v>0</v>
      </c>
      <c r="S24" s="33">
        <f t="shared" si="40"/>
        <v>0</v>
      </c>
      <c r="T24" s="33">
        <f t="shared" si="40"/>
        <v>0</v>
      </c>
      <c r="U24" s="33">
        <f t="shared" si="41"/>
        <v>0</v>
      </c>
      <c r="V24" s="33">
        <f t="shared" si="41"/>
        <v>0</v>
      </c>
      <c r="W24" s="33">
        <f t="shared" si="41"/>
        <v>0</v>
      </c>
      <c r="X24" s="33">
        <f t="shared" si="41"/>
        <v>0</v>
      </c>
      <c r="Y24" s="33">
        <f t="shared" si="41"/>
        <v>0</v>
      </c>
      <c r="Z24" s="33">
        <f t="shared" si="41"/>
        <v>0</v>
      </c>
      <c r="AA24" s="33">
        <f t="shared" si="41"/>
        <v>0</v>
      </c>
      <c r="AB24" s="33">
        <f t="shared" si="41"/>
        <v>0</v>
      </c>
      <c r="AC24" s="33">
        <f t="shared" si="41"/>
        <v>0</v>
      </c>
      <c r="AD24" s="33">
        <f t="shared" si="41"/>
        <v>0</v>
      </c>
      <c r="AE24" s="33">
        <f t="shared" si="42"/>
        <v>0</v>
      </c>
      <c r="AF24" s="33">
        <f t="shared" si="42"/>
        <v>0</v>
      </c>
      <c r="AG24" s="33">
        <f t="shared" si="42"/>
        <v>114000</v>
      </c>
      <c r="AH24" s="33">
        <f t="shared" si="42"/>
        <v>0</v>
      </c>
      <c r="AI24" s="33">
        <f t="shared" si="42"/>
        <v>0</v>
      </c>
      <c r="AJ24" s="33">
        <f t="shared" si="42"/>
        <v>0</v>
      </c>
      <c r="AK24" s="14">
        <f t="shared" si="2"/>
        <v>0</v>
      </c>
      <c r="AM24">
        <f t="shared" si="3"/>
        <v>0</v>
      </c>
      <c r="AN24">
        <f t="shared" si="4"/>
        <v>0</v>
      </c>
      <c r="AO24">
        <f t="shared" si="5"/>
        <v>0</v>
      </c>
      <c r="AP24">
        <f t="shared" si="6"/>
        <v>0</v>
      </c>
      <c r="AQ24">
        <f t="shared" si="7"/>
        <v>0</v>
      </c>
      <c r="AR24">
        <f t="shared" si="8"/>
        <v>0</v>
      </c>
      <c r="AS24">
        <f t="shared" si="9"/>
        <v>0</v>
      </c>
      <c r="AT24">
        <f t="shared" si="10"/>
        <v>0</v>
      </c>
      <c r="AU24">
        <f t="shared" si="11"/>
        <v>0</v>
      </c>
      <c r="AV24">
        <f t="shared" si="12"/>
        <v>0</v>
      </c>
      <c r="AW24">
        <f t="shared" si="13"/>
        <v>0</v>
      </c>
      <c r="AX24">
        <f t="shared" si="14"/>
        <v>0</v>
      </c>
      <c r="AY24">
        <f t="shared" si="15"/>
        <v>0</v>
      </c>
      <c r="AZ24">
        <f t="shared" si="16"/>
        <v>0</v>
      </c>
      <c r="BA24">
        <f t="shared" si="17"/>
        <v>0</v>
      </c>
      <c r="BB24">
        <f t="shared" si="18"/>
        <v>0</v>
      </c>
      <c r="BC24">
        <f t="shared" si="19"/>
        <v>0</v>
      </c>
      <c r="BD24">
        <f t="shared" si="20"/>
        <v>0</v>
      </c>
      <c r="BE24">
        <f t="shared" si="21"/>
        <v>0</v>
      </c>
      <c r="BF24">
        <f t="shared" si="22"/>
        <v>0</v>
      </c>
      <c r="BG24">
        <f t="shared" si="23"/>
        <v>0</v>
      </c>
      <c r="BH24">
        <f t="shared" si="24"/>
        <v>0</v>
      </c>
      <c r="BI24">
        <f t="shared" si="25"/>
        <v>1</v>
      </c>
      <c r="BJ24">
        <f t="shared" si="26"/>
        <v>0</v>
      </c>
      <c r="BK24">
        <f t="shared" si="27"/>
        <v>0</v>
      </c>
      <c r="BL24">
        <f t="shared" si="28"/>
        <v>0</v>
      </c>
      <c r="BM24">
        <f t="shared" si="29"/>
        <v>1</v>
      </c>
    </row>
    <row r="25" spans="1:65" ht="25">
      <c r="A25" s="19" t="s">
        <v>104</v>
      </c>
      <c r="B25" s="19" t="s">
        <v>338</v>
      </c>
      <c r="C25" s="19" t="s">
        <v>19</v>
      </c>
      <c r="D25" s="25" t="s">
        <v>327</v>
      </c>
      <c r="E25" s="21">
        <v>608000</v>
      </c>
      <c r="F25" s="19">
        <v>24</v>
      </c>
      <c r="G25" s="19">
        <v>24</v>
      </c>
      <c r="H25" s="19">
        <f t="shared" si="0"/>
        <v>1</v>
      </c>
      <c r="I25" s="19" t="s">
        <v>39</v>
      </c>
      <c r="J25" s="32" t="s">
        <v>106</v>
      </c>
      <c r="K25" s="33">
        <f t="shared" si="40"/>
        <v>0</v>
      </c>
      <c r="L25" s="33">
        <f t="shared" si="40"/>
        <v>0</v>
      </c>
      <c r="M25" s="33">
        <f t="shared" si="40"/>
        <v>0</v>
      </c>
      <c r="N25" s="33">
        <f t="shared" si="40"/>
        <v>0</v>
      </c>
      <c r="O25" s="33">
        <f t="shared" si="40"/>
        <v>0</v>
      </c>
      <c r="P25" s="33">
        <f t="shared" si="40"/>
        <v>0</v>
      </c>
      <c r="Q25" s="33">
        <f t="shared" si="40"/>
        <v>0</v>
      </c>
      <c r="R25" s="33">
        <f t="shared" si="40"/>
        <v>0</v>
      </c>
      <c r="S25" s="33">
        <f t="shared" si="40"/>
        <v>0</v>
      </c>
      <c r="T25" s="33">
        <f t="shared" si="40"/>
        <v>0</v>
      </c>
      <c r="U25" s="33">
        <f t="shared" si="41"/>
        <v>0</v>
      </c>
      <c r="V25" s="33">
        <f t="shared" si="41"/>
        <v>0</v>
      </c>
      <c r="W25" s="33">
        <f t="shared" si="41"/>
        <v>0</v>
      </c>
      <c r="X25" s="33">
        <f t="shared" si="41"/>
        <v>0</v>
      </c>
      <c r="Y25" s="33">
        <f t="shared" si="41"/>
        <v>0</v>
      </c>
      <c r="Z25" s="33">
        <f t="shared" si="41"/>
        <v>0</v>
      </c>
      <c r="AA25" s="33">
        <f t="shared" si="41"/>
        <v>0</v>
      </c>
      <c r="AB25" s="33">
        <f t="shared" si="41"/>
        <v>0</v>
      </c>
      <c r="AC25" s="33">
        <f t="shared" si="41"/>
        <v>0</v>
      </c>
      <c r="AD25" s="33">
        <f t="shared" si="41"/>
        <v>0</v>
      </c>
      <c r="AE25" s="33">
        <f t="shared" si="42"/>
        <v>0</v>
      </c>
      <c r="AF25" s="33">
        <f t="shared" si="42"/>
        <v>0</v>
      </c>
      <c r="AG25" s="33">
        <f t="shared" si="42"/>
        <v>0</v>
      </c>
      <c r="AH25" s="33">
        <f t="shared" si="42"/>
        <v>608000</v>
      </c>
      <c r="AI25" s="33">
        <f t="shared" si="42"/>
        <v>0</v>
      </c>
      <c r="AJ25" s="33">
        <f t="shared" si="42"/>
        <v>0</v>
      </c>
      <c r="AK25" s="14">
        <f t="shared" si="2"/>
        <v>0</v>
      </c>
      <c r="AM25">
        <f t="shared" si="3"/>
        <v>0</v>
      </c>
      <c r="AN25">
        <f t="shared" si="4"/>
        <v>0</v>
      </c>
      <c r="AO25">
        <f t="shared" si="5"/>
        <v>0</v>
      </c>
      <c r="AP25">
        <f t="shared" si="6"/>
        <v>0</v>
      </c>
      <c r="AQ25">
        <f t="shared" si="7"/>
        <v>0</v>
      </c>
      <c r="AR25">
        <f t="shared" si="8"/>
        <v>0</v>
      </c>
      <c r="AS25">
        <f t="shared" si="9"/>
        <v>0</v>
      </c>
      <c r="AT25">
        <f t="shared" si="10"/>
        <v>0</v>
      </c>
      <c r="AU25">
        <f t="shared" si="11"/>
        <v>0</v>
      </c>
      <c r="AV25">
        <f t="shared" si="12"/>
        <v>0</v>
      </c>
      <c r="AW25">
        <f t="shared" si="13"/>
        <v>0</v>
      </c>
      <c r="AX25">
        <f t="shared" si="14"/>
        <v>0</v>
      </c>
      <c r="AY25">
        <f t="shared" si="15"/>
        <v>0</v>
      </c>
      <c r="AZ25">
        <f t="shared" si="16"/>
        <v>0</v>
      </c>
      <c r="BA25">
        <f t="shared" si="17"/>
        <v>0</v>
      </c>
      <c r="BB25">
        <f t="shared" si="18"/>
        <v>0</v>
      </c>
      <c r="BC25">
        <f t="shared" si="19"/>
        <v>0</v>
      </c>
      <c r="BD25">
        <f t="shared" si="20"/>
        <v>0</v>
      </c>
      <c r="BE25">
        <f t="shared" si="21"/>
        <v>0</v>
      </c>
      <c r="BF25">
        <f t="shared" si="22"/>
        <v>0</v>
      </c>
      <c r="BG25">
        <f t="shared" si="23"/>
        <v>0</v>
      </c>
      <c r="BH25">
        <f t="shared" si="24"/>
        <v>0</v>
      </c>
      <c r="BI25">
        <f t="shared" si="25"/>
        <v>0</v>
      </c>
      <c r="BJ25">
        <f t="shared" si="26"/>
        <v>1</v>
      </c>
      <c r="BK25">
        <f t="shared" si="27"/>
        <v>0</v>
      </c>
      <c r="BL25">
        <f t="shared" si="28"/>
        <v>0</v>
      </c>
      <c r="BM25">
        <f t="shared" si="29"/>
        <v>1</v>
      </c>
    </row>
    <row r="26" spans="1:65" ht="50">
      <c r="A26" s="19" t="s">
        <v>107</v>
      </c>
      <c r="B26" s="19" t="s">
        <v>339</v>
      </c>
      <c r="C26" s="19" t="s">
        <v>19</v>
      </c>
      <c r="D26" s="26" t="s">
        <v>331</v>
      </c>
      <c r="E26" s="21">
        <v>1140000</v>
      </c>
      <c r="F26" s="19">
        <v>25</v>
      </c>
      <c r="G26" s="19">
        <v>26</v>
      </c>
      <c r="H26" s="19">
        <f t="shared" si="0"/>
        <v>2</v>
      </c>
      <c r="I26" s="19" t="s">
        <v>39</v>
      </c>
      <c r="J26" s="32" t="s">
        <v>109</v>
      </c>
      <c r="K26" s="33">
        <f t="shared" ref="K26:AJ26" si="43">IF(AND(K$79&gt;=$F26,K$79&lt;=$G26),AM26/$BM$26*$E26,0)</f>
        <v>0</v>
      </c>
      <c r="L26" s="33">
        <f t="shared" si="43"/>
        <v>0</v>
      </c>
      <c r="M26" s="33">
        <f t="shared" si="43"/>
        <v>0</v>
      </c>
      <c r="N26" s="33">
        <f t="shared" si="43"/>
        <v>0</v>
      </c>
      <c r="O26" s="33">
        <f t="shared" si="43"/>
        <v>0</v>
      </c>
      <c r="P26" s="33">
        <f t="shared" si="43"/>
        <v>0</v>
      </c>
      <c r="Q26" s="33">
        <f t="shared" si="43"/>
        <v>0</v>
      </c>
      <c r="R26" s="33">
        <f t="shared" si="43"/>
        <v>0</v>
      </c>
      <c r="S26" s="33">
        <f t="shared" si="43"/>
        <v>0</v>
      </c>
      <c r="T26" s="33">
        <f t="shared" si="43"/>
        <v>0</v>
      </c>
      <c r="U26" s="33">
        <f t="shared" si="43"/>
        <v>0</v>
      </c>
      <c r="V26" s="33">
        <f t="shared" si="43"/>
        <v>0</v>
      </c>
      <c r="W26" s="33">
        <f t="shared" si="43"/>
        <v>0</v>
      </c>
      <c r="X26" s="33">
        <f t="shared" si="43"/>
        <v>0</v>
      </c>
      <c r="Y26" s="33">
        <f t="shared" si="43"/>
        <v>0</v>
      </c>
      <c r="Z26" s="33">
        <f t="shared" si="43"/>
        <v>0</v>
      </c>
      <c r="AA26" s="33">
        <f t="shared" si="43"/>
        <v>0</v>
      </c>
      <c r="AB26" s="33">
        <f t="shared" si="43"/>
        <v>0</v>
      </c>
      <c r="AC26" s="33">
        <f t="shared" si="43"/>
        <v>0</v>
      </c>
      <c r="AD26" s="33">
        <f t="shared" si="43"/>
        <v>0</v>
      </c>
      <c r="AE26" s="33">
        <f t="shared" si="43"/>
        <v>0</v>
      </c>
      <c r="AF26" s="33">
        <f t="shared" si="43"/>
        <v>0</v>
      </c>
      <c r="AG26" s="33">
        <f t="shared" si="43"/>
        <v>0</v>
      </c>
      <c r="AH26" s="33">
        <f t="shared" si="43"/>
        <v>0</v>
      </c>
      <c r="AI26" s="33">
        <f t="shared" si="43"/>
        <v>570000</v>
      </c>
      <c r="AJ26" s="33">
        <f t="shared" si="43"/>
        <v>570000</v>
      </c>
      <c r="AK26" s="14">
        <f t="shared" si="2"/>
        <v>0</v>
      </c>
      <c r="AM26">
        <f t="shared" si="3"/>
        <v>0</v>
      </c>
      <c r="AN26">
        <f t="shared" si="4"/>
        <v>0</v>
      </c>
      <c r="AO26">
        <f t="shared" si="5"/>
        <v>0</v>
      </c>
      <c r="AP26">
        <f t="shared" si="6"/>
        <v>0</v>
      </c>
      <c r="AQ26">
        <f t="shared" si="7"/>
        <v>0</v>
      </c>
      <c r="AR26">
        <f t="shared" si="8"/>
        <v>0</v>
      </c>
      <c r="AS26">
        <f t="shared" si="9"/>
        <v>0</v>
      </c>
      <c r="AT26">
        <f t="shared" si="10"/>
        <v>0</v>
      </c>
      <c r="AU26">
        <f t="shared" si="11"/>
        <v>0</v>
      </c>
      <c r="AV26">
        <f t="shared" si="12"/>
        <v>0</v>
      </c>
      <c r="AW26">
        <f t="shared" si="13"/>
        <v>0</v>
      </c>
      <c r="AX26">
        <f t="shared" si="14"/>
        <v>0</v>
      </c>
      <c r="AY26">
        <f t="shared" si="15"/>
        <v>0</v>
      </c>
      <c r="AZ26">
        <f t="shared" si="16"/>
        <v>0</v>
      </c>
      <c r="BA26">
        <f t="shared" si="17"/>
        <v>0</v>
      </c>
      <c r="BB26">
        <f t="shared" si="18"/>
        <v>0</v>
      </c>
      <c r="BC26">
        <f t="shared" si="19"/>
        <v>0</v>
      </c>
      <c r="BD26">
        <f t="shared" si="20"/>
        <v>0</v>
      </c>
      <c r="BE26">
        <f t="shared" si="21"/>
        <v>0</v>
      </c>
      <c r="BF26">
        <f t="shared" si="22"/>
        <v>0</v>
      </c>
      <c r="BG26">
        <f t="shared" si="23"/>
        <v>0</v>
      </c>
      <c r="BH26">
        <f t="shared" si="24"/>
        <v>0</v>
      </c>
      <c r="BI26">
        <f t="shared" si="25"/>
        <v>0</v>
      </c>
      <c r="BJ26">
        <f t="shared" si="26"/>
        <v>0</v>
      </c>
      <c r="BK26">
        <f t="shared" si="27"/>
        <v>1</v>
      </c>
      <c r="BL26">
        <f t="shared" si="28"/>
        <v>1</v>
      </c>
      <c r="BM26">
        <f t="shared" si="29"/>
        <v>2</v>
      </c>
    </row>
    <row r="27" spans="1:65">
      <c r="A27" s="19" t="s">
        <v>112</v>
      </c>
      <c r="B27" s="19" t="s">
        <v>340</v>
      </c>
      <c r="C27" s="19" t="s">
        <v>18</v>
      </c>
      <c r="D27" s="25" t="s">
        <v>327</v>
      </c>
      <c r="E27" s="21">
        <v>55350</v>
      </c>
      <c r="F27" s="19">
        <v>8</v>
      </c>
      <c r="G27" s="19">
        <v>8</v>
      </c>
      <c r="H27" s="19">
        <f t="shared" si="0"/>
        <v>1</v>
      </c>
      <c r="I27" s="27" t="s">
        <v>115</v>
      </c>
      <c r="J27" s="32" t="s">
        <v>73</v>
      </c>
      <c r="K27" s="33">
        <f t="shared" ref="K27:T29" si="44">IF(AND(K$79&gt;=$F27,K$79&lt;=$G27),$E27/$H27,0)</f>
        <v>0</v>
      </c>
      <c r="L27" s="33">
        <f t="shared" si="44"/>
        <v>0</v>
      </c>
      <c r="M27" s="33">
        <f t="shared" si="44"/>
        <v>0</v>
      </c>
      <c r="N27" s="33">
        <f t="shared" si="44"/>
        <v>0</v>
      </c>
      <c r="O27" s="33">
        <f t="shared" si="44"/>
        <v>0</v>
      </c>
      <c r="P27" s="33">
        <f t="shared" si="44"/>
        <v>0</v>
      </c>
      <c r="Q27" s="33">
        <f t="shared" si="44"/>
        <v>0</v>
      </c>
      <c r="R27" s="33">
        <f t="shared" si="44"/>
        <v>55350</v>
      </c>
      <c r="S27" s="33">
        <f t="shared" si="44"/>
        <v>0</v>
      </c>
      <c r="T27" s="33">
        <f t="shared" si="44"/>
        <v>0</v>
      </c>
      <c r="U27" s="33">
        <f t="shared" ref="U27:AD29" si="45">IF(AND(U$79&gt;=$F27,U$79&lt;=$G27),$E27/$H27,0)</f>
        <v>0</v>
      </c>
      <c r="V27" s="33">
        <f t="shared" si="45"/>
        <v>0</v>
      </c>
      <c r="W27" s="33">
        <f t="shared" si="45"/>
        <v>0</v>
      </c>
      <c r="X27" s="33">
        <f t="shared" si="45"/>
        <v>0</v>
      </c>
      <c r="Y27" s="33">
        <f t="shared" si="45"/>
        <v>0</v>
      </c>
      <c r="Z27" s="33">
        <f t="shared" si="45"/>
        <v>0</v>
      </c>
      <c r="AA27" s="33">
        <f t="shared" si="45"/>
        <v>0</v>
      </c>
      <c r="AB27" s="33">
        <f t="shared" si="45"/>
        <v>0</v>
      </c>
      <c r="AC27" s="33">
        <f t="shared" si="45"/>
        <v>0</v>
      </c>
      <c r="AD27" s="33">
        <f t="shared" si="45"/>
        <v>0</v>
      </c>
      <c r="AE27" s="33">
        <f t="shared" ref="AE27:AJ29" si="46">IF(AND(AE$79&gt;=$F27,AE$79&lt;=$G27),$E27/$H27,0)</f>
        <v>0</v>
      </c>
      <c r="AF27" s="33">
        <f t="shared" si="46"/>
        <v>0</v>
      </c>
      <c r="AG27" s="33">
        <f t="shared" si="46"/>
        <v>0</v>
      </c>
      <c r="AH27" s="33">
        <f t="shared" si="46"/>
        <v>0</v>
      </c>
      <c r="AI27" s="33">
        <f t="shared" si="46"/>
        <v>0</v>
      </c>
      <c r="AJ27" s="33">
        <f t="shared" si="46"/>
        <v>0</v>
      </c>
      <c r="AK27" s="14">
        <f t="shared" si="2"/>
        <v>0</v>
      </c>
      <c r="AM27">
        <f t="shared" si="3"/>
        <v>0</v>
      </c>
      <c r="AN27">
        <f t="shared" si="4"/>
        <v>0</v>
      </c>
      <c r="AO27">
        <f t="shared" si="5"/>
        <v>0</v>
      </c>
      <c r="AP27">
        <f t="shared" si="6"/>
        <v>0</v>
      </c>
      <c r="AQ27">
        <f t="shared" si="7"/>
        <v>0</v>
      </c>
      <c r="AR27">
        <f t="shared" si="8"/>
        <v>0</v>
      </c>
      <c r="AS27">
        <f t="shared" si="9"/>
        <v>0</v>
      </c>
      <c r="AT27">
        <f t="shared" si="10"/>
        <v>1</v>
      </c>
      <c r="AU27">
        <f t="shared" si="11"/>
        <v>0</v>
      </c>
      <c r="AV27">
        <f t="shared" si="12"/>
        <v>0</v>
      </c>
      <c r="AW27">
        <f t="shared" si="13"/>
        <v>0</v>
      </c>
      <c r="AX27">
        <f t="shared" si="14"/>
        <v>0</v>
      </c>
      <c r="AY27">
        <f t="shared" si="15"/>
        <v>0</v>
      </c>
      <c r="AZ27">
        <f t="shared" si="16"/>
        <v>0</v>
      </c>
      <c r="BA27">
        <f t="shared" si="17"/>
        <v>0</v>
      </c>
      <c r="BB27">
        <f t="shared" si="18"/>
        <v>0</v>
      </c>
      <c r="BC27">
        <f t="shared" si="19"/>
        <v>0</v>
      </c>
      <c r="BD27">
        <f t="shared" si="20"/>
        <v>0</v>
      </c>
      <c r="BE27">
        <f t="shared" si="21"/>
        <v>0</v>
      </c>
      <c r="BF27">
        <f t="shared" si="22"/>
        <v>0</v>
      </c>
      <c r="BG27">
        <f t="shared" si="23"/>
        <v>0</v>
      </c>
      <c r="BH27">
        <f t="shared" si="24"/>
        <v>0</v>
      </c>
      <c r="BI27">
        <f t="shared" si="25"/>
        <v>0</v>
      </c>
      <c r="BJ27">
        <f t="shared" si="26"/>
        <v>0</v>
      </c>
      <c r="BK27">
        <f t="shared" si="27"/>
        <v>0</v>
      </c>
      <c r="BL27">
        <f t="shared" si="28"/>
        <v>0</v>
      </c>
      <c r="BM27">
        <f t="shared" si="29"/>
        <v>1</v>
      </c>
    </row>
    <row r="28" spans="1:65" ht="25">
      <c r="A28" s="19" t="s">
        <v>116</v>
      </c>
      <c r="B28" s="19" t="s">
        <v>341</v>
      </c>
      <c r="C28" s="19" t="s">
        <v>18</v>
      </c>
      <c r="D28" s="25" t="s">
        <v>327</v>
      </c>
      <c r="E28" s="21">
        <v>166050</v>
      </c>
      <c r="F28" s="19">
        <v>9</v>
      </c>
      <c r="G28" s="19">
        <v>9</v>
      </c>
      <c r="H28" s="19">
        <f t="shared" si="0"/>
        <v>1</v>
      </c>
      <c r="I28" s="27" t="s">
        <v>115</v>
      </c>
      <c r="J28" s="32" t="s">
        <v>118</v>
      </c>
      <c r="K28" s="33">
        <f t="shared" si="44"/>
        <v>0</v>
      </c>
      <c r="L28" s="33">
        <f t="shared" si="44"/>
        <v>0</v>
      </c>
      <c r="M28" s="33">
        <f t="shared" si="44"/>
        <v>0</v>
      </c>
      <c r="N28" s="33">
        <f t="shared" si="44"/>
        <v>0</v>
      </c>
      <c r="O28" s="33">
        <f t="shared" si="44"/>
        <v>0</v>
      </c>
      <c r="P28" s="33">
        <f t="shared" si="44"/>
        <v>0</v>
      </c>
      <c r="Q28" s="33">
        <f t="shared" si="44"/>
        <v>0</v>
      </c>
      <c r="R28" s="33">
        <f t="shared" si="44"/>
        <v>0</v>
      </c>
      <c r="S28" s="33">
        <f t="shared" si="44"/>
        <v>166050</v>
      </c>
      <c r="T28" s="33">
        <f t="shared" si="44"/>
        <v>0</v>
      </c>
      <c r="U28" s="33">
        <f t="shared" si="45"/>
        <v>0</v>
      </c>
      <c r="V28" s="33">
        <f t="shared" si="45"/>
        <v>0</v>
      </c>
      <c r="W28" s="33">
        <f t="shared" si="45"/>
        <v>0</v>
      </c>
      <c r="X28" s="33">
        <f t="shared" si="45"/>
        <v>0</v>
      </c>
      <c r="Y28" s="33">
        <f t="shared" si="45"/>
        <v>0</v>
      </c>
      <c r="Z28" s="33">
        <f t="shared" si="45"/>
        <v>0</v>
      </c>
      <c r="AA28" s="33">
        <f t="shared" si="45"/>
        <v>0</v>
      </c>
      <c r="AB28" s="33">
        <f t="shared" si="45"/>
        <v>0</v>
      </c>
      <c r="AC28" s="33">
        <f t="shared" si="45"/>
        <v>0</v>
      </c>
      <c r="AD28" s="33">
        <f t="shared" si="45"/>
        <v>0</v>
      </c>
      <c r="AE28" s="33">
        <f t="shared" si="46"/>
        <v>0</v>
      </c>
      <c r="AF28" s="33">
        <f t="shared" si="46"/>
        <v>0</v>
      </c>
      <c r="AG28" s="33">
        <f t="shared" si="46"/>
        <v>0</v>
      </c>
      <c r="AH28" s="33">
        <f t="shared" si="46"/>
        <v>0</v>
      </c>
      <c r="AI28" s="33">
        <f t="shared" si="46"/>
        <v>0</v>
      </c>
      <c r="AJ28" s="33">
        <f t="shared" si="46"/>
        <v>0</v>
      </c>
      <c r="AK28" s="14">
        <f t="shared" si="2"/>
        <v>0</v>
      </c>
      <c r="AM28">
        <f t="shared" si="3"/>
        <v>0</v>
      </c>
      <c r="AN28">
        <f t="shared" si="4"/>
        <v>0</v>
      </c>
      <c r="AO28">
        <f t="shared" si="5"/>
        <v>0</v>
      </c>
      <c r="AP28">
        <f t="shared" si="6"/>
        <v>0</v>
      </c>
      <c r="AQ28">
        <f t="shared" si="7"/>
        <v>0</v>
      </c>
      <c r="AR28">
        <f t="shared" si="8"/>
        <v>0</v>
      </c>
      <c r="AS28">
        <f t="shared" si="9"/>
        <v>0</v>
      </c>
      <c r="AT28">
        <f t="shared" si="10"/>
        <v>0</v>
      </c>
      <c r="AU28">
        <f t="shared" si="11"/>
        <v>1</v>
      </c>
      <c r="AV28">
        <f t="shared" si="12"/>
        <v>0</v>
      </c>
      <c r="AW28">
        <f t="shared" si="13"/>
        <v>0</v>
      </c>
      <c r="AX28">
        <f t="shared" si="14"/>
        <v>0</v>
      </c>
      <c r="AY28">
        <f t="shared" si="15"/>
        <v>0</v>
      </c>
      <c r="AZ28">
        <f t="shared" si="16"/>
        <v>0</v>
      </c>
      <c r="BA28">
        <f t="shared" si="17"/>
        <v>0</v>
      </c>
      <c r="BB28">
        <f t="shared" si="18"/>
        <v>0</v>
      </c>
      <c r="BC28">
        <f t="shared" si="19"/>
        <v>0</v>
      </c>
      <c r="BD28">
        <f t="shared" si="20"/>
        <v>0</v>
      </c>
      <c r="BE28">
        <f t="shared" si="21"/>
        <v>0</v>
      </c>
      <c r="BF28">
        <f t="shared" si="22"/>
        <v>0</v>
      </c>
      <c r="BG28">
        <f t="shared" si="23"/>
        <v>0</v>
      </c>
      <c r="BH28">
        <f t="shared" si="24"/>
        <v>0</v>
      </c>
      <c r="BI28">
        <f t="shared" si="25"/>
        <v>0</v>
      </c>
      <c r="BJ28">
        <f t="shared" si="26"/>
        <v>0</v>
      </c>
      <c r="BK28">
        <f t="shared" si="27"/>
        <v>0</v>
      </c>
      <c r="BL28">
        <f t="shared" si="28"/>
        <v>0</v>
      </c>
      <c r="BM28">
        <f t="shared" si="29"/>
        <v>1</v>
      </c>
    </row>
    <row r="29" spans="1:65" ht="25">
      <c r="A29" s="19" t="s">
        <v>119</v>
      </c>
      <c r="B29" s="19" t="s">
        <v>342</v>
      </c>
      <c r="C29" s="19" t="s">
        <v>18</v>
      </c>
      <c r="D29" s="25" t="s">
        <v>327</v>
      </c>
      <c r="E29" s="21">
        <v>885600</v>
      </c>
      <c r="F29" s="19">
        <v>10</v>
      </c>
      <c r="G29" s="19">
        <v>12</v>
      </c>
      <c r="H29" s="19">
        <f t="shared" si="0"/>
        <v>3</v>
      </c>
      <c r="I29" s="27" t="s">
        <v>115</v>
      </c>
      <c r="J29" s="32" t="s">
        <v>121</v>
      </c>
      <c r="K29" s="33">
        <f t="shared" si="44"/>
        <v>0</v>
      </c>
      <c r="L29" s="33">
        <f t="shared" si="44"/>
        <v>0</v>
      </c>
      <c r="M29" s="33">
        <f t="shared" si="44"/>
        <v>0</v>
      </c>
      <c r="N29" s="33">
        <f t="shared" si="44"/>
        <v>0</v>
      </c>
      <c r="O29" s="33">
        <f t="shared" si="44"/>
        <v>0</v>
      </c>
      <c r="P29" s="33">
        <f t="shared" si="44"/>
        <v>0</v>
      </c>
      <c r="Q29" s="33">
        <f t="shared" si="44"/>
        <v>0</v>
      </c>
      <c r="R29" s="33">
        <f t="shared" si="44"/>
        <v>0</v>
      </c>
      <c r="S29" s="33">
        <f t="shared" si="44"/>
        <v>0</v>
      </c>
      <c r="T29" s="33">
        <f t="shared" si="44"/>
        <v>295200</v>
      </c>
      <c r="U29" s="33">
        <f t="shared" si="45"/>
        <v>295200</v>
      </c>
      <c r="V29" s="33">
        <f t="shared" si="45"/>
        <v>295200</v>
      </c>
      <c r="W29" s="33">
        <f t="shared" si="45"/>
        <v>0</v>
      </c>
      <c r="X29" s="33">
        <f t="shared" si="45"/>
        <v>0</v>
      </c>
      <c r="Y29" s="33">
        <f t="shared" si="45"/>
        <v>0</v>
      </c>
      <c r="Z29" s="33">
        <f t="shared" si="45"/>
        <v>0</v>
      </c>
      <c r="AA29" s="33">
        <f t="shared" si="45"/>
        <v>0</v>
      </c>
      <c r="AB29" s="33">
        <f t="shared" si="45"/>
        <v>0</v>
      </c>
      <c r="AC29" s="33">
        <f t="shared" si="45"/>
        <v>0</v>
      </c>
      <c r="AD29" s="33">
        <f t="shared" si="45"/>
        <v>0</v>
      </c>
      <c r="AE29" s="33">
        <f t="shared" si="46"/>
        <v>0</v>
      </c>
      <c r="AF29" s="33">
        <f t="shared" si="46"/>
        <v>0</v>
      </c>
      <c r="AG29" s="33">
        <f t="shared" si="46"/>
        <v>0</v>
      </c>
      <c r="AH29" s="33">
        <f t="shared" si="46"/>
        <v>0</v>
      </c>
      <c r="AI29" s="33">
        <f t="shared" si="46"/>
        <v>0</v>
      </c>
      <c r="AJ29" s="33">
        <f t="shared" si="46"/>
        <v>0</v>
      </c>
      <c r="AK29" s="14">
        <f t="shared" si="2"/>
        <v>0</v>
      </c>
      <c r="AM29">
        <f t="shared" si="3"/>
        <v>0</v>
      </c>
      <c r="AN29">
        <f t="shared" si="4"/>
        <v>0</v>
      </c>
      <c r="AO29">
        <f t="shared" si="5"/>
        <v>0</v>
      </c>
      <c r="AP29">
        <f t="shared" si="6"/>
        <v>0</v>
      </c>
      <c r="AQ29">
        <f t="shared" si="7"/>
        <v>0</v>
      </c>
      <c r="AR29">
        <f t="shared" si="8"/>
        <v>0</v>
      </c>
      <c r="AS29">
        <f t="shared" si="9"/>
        <v>0</v>
      </c>
      <c r="AT29">
        <f t="shared" si="10"/>
        <v>0</v>
      </c>
      <c r="AU29">
        <f t="shared" si="11"/>
        <v>0</v>
      </c>
      <c r="AV29">
        <f t="shared" si="12"/>
        <v>1</v>
      </c>
      <c r="AW29">
        <f t="shared" si="13"/>
        <v>2</v>
      </c>
      <c r="AX29">
        <f t="shared" si="14"/>
        <v>1</v>
      </c>
      <c r="AY29">
        <f t="shared" si="15"/>
        <v>0</v>
      </c>
      <c r="AZ29">
        <f t="shared" si="16"/>
        <v>0</v>
      </c>
      <c r="BA29">
        <f t="shared" si="17"/>
        <v>0</v>
      </c>
      <c r="BB29">
        <f t="shared" si="18"/>
        <v>0</v>
      </c>
      <c r="BC29">
        <f t="shared" si="19"/>
        <v>0</v>
      </c>
      <c r="BD29">
        <f t="shared" si="20"/>
        <v>0</v>
      </c>
      <c r="BE29">
        <f t="shared" si="21"/>
        <v>0</v>
      </c>
      <c r="BF29">
        <f t="shared" si="22"/>
        <v>0</v>
      </c>
      <c r="BG29">
        <f t="shared" si="23"/>
        <v>0</v>
      </c>
      <c r="BH29">
        <f t="shared" si="24"/>
        <v>0</v>
      </c>
      <c r="BI29">
        <f t="shared" si="25"/>
        <v>0</v>
      </c>
      <c r="BJ29">
        <f t="shared" si="26"/>
        <v>0</v>
      </c>
      <c r="BK29">
        <f t="shared" si="27"/>
        <v>0</v>
      </c>
      <c r="BL29">
        <f t="shared" si="28"/>
        <v>0</v>
      </c>
      <c r="BM29">
        <f t="shared" si="29"/>
        <v>4</v>
      </c>
    </row>
    <row r="30" spans="1:65" ht="37.5">
      <c r="A30" s="19" t="s">
        <v>122</v>
      </c>
      <c r="B30" s="19" t="s">
        <v>343</v>
      </c>
      <c r="C30" s="19" t="s">
        <v>18</v>
      </c>
      <c r="D30" s="26" t="s">
        <v>331</v>
      </c>
      <c r="E30" s="21">
        <v>2583000</v>
      </c>
      <c r="F30" s="19">
        <v>13</v>
      </c>
      <c r="G30" s="19">
        <v>22</v>
      </c>
      <c r="H30" s="19">
        <f t="shared" si="0"/>
        <v>10</v>
      </c>
      <c r="I30" s="19" t="s">
        <v>39</v>
      </c>
      <c r="J30" s="32" t="s">
        <v>124</v>
      </c>
      <c r="K30" s="33">
        <f t="shared" ref="K30:AJ30" si="47">IF(AND(K$79&gt;=$F30,K$79&lt;=$G30),AM30/$BM$30*$E30,0)</f>
        <v>0</v>
      </c>
      <c r="L30" s="33">
        <f t="shared" si="47"/>
        <v>0</v>
      </c>
      <c r="M30" s="33">
        <f t="shared" si="47"/>
        <v>0</v>
      </c>
      <c r="N30" s="33">
        <f t="shared" si="47"/>
        <v>0</v>
      </c>
      <c r="O30" s="33">
        <f t="shared" si="47"/>
        <v>0</v>
      </c>
      <c r="P30" s="33">
        <f t="shared" si="47"/>
        <v>0</v>
      </c>
      <c r="Q30" s="33">
        <f t="shared" si="47"/>
        <v>0</v>
      </c>
      <c r="R30" s="33">
        <f t="shared" si="47"/>
        <v>0</v>
      </c>
      <c r="S30" s="33">
        <f t="shared" si="47"/>
        <v>0</v>
      </c>
      <c r="T30" s="33">
        <f t="shared" si="47"/>
        <v>0</v>
      </c>
      <c r="U30" s="33">
        <f t="shared" si="47"/>
        <v>0</v>
      </c>
      <c r="V30" s="33">
        <f t="shared" si="47"/>
        <v>0</v>
      </c>
      <c r="W30" s="33">
        <f t="shared" si="47"/>
        <v>86100</v>
      </c>
      <c r="X30" s="33">
        <f t="shared" si="47"/>
        <v>172200</v>
      </c>
      <c r="Y30" s="33">
        <f t="shared" si="47"/>
        <v>258300</v>
      </c>
      <c r="Z30" s="33">
        <f t="shared" si="47"/>
        <v>344400</v>
      </c>
      <c r="AA30" s="33">
        <f t="shared" si="47"/>
        <v>430500</v>
      </c>
      <c r="AB30" s="33">
        <f t="shared" si="47"/>
        <v>430500</v>
      </c>
      <c r="AC30" s="33">
        <f t="shared" si="47"/>
        <v>344400</v>
      </c>
      <c r="AD30" s="33">
        <f t="shared" si="47"/>
        <v>258300</v>
      </c>
      <c r="AE30" s="33">
        <f t="shared" si="47"/>
        <v>172200</v>
      </c>
      <c r="AF30" s="33">
        <f t="shared" si="47"/>
        <v>86100</v>
      </c>
      <c r="AG30" s="33">
        <f t="shared" si="47"/>
        <v>0</v>
      </c>
      <c r="AH30" s="33">
        <f t="shared" si="47"/>
        <v>0</v>
      </c>
      <c r="AI30" s="33">
        <f t="shared" si="47"/>
        <v>0</v>
      </c>
      <c r="AJ30" s="33">
        <f t="shared" si="47"/>
        <v>0</v>
      </c>
      <c r="AK30" s="14">
        <f t="shared" si="2"/>
        <v>0</v>
      </c>
      <c r="AM30">
        <f t="shared" si="3"/>
        <v>0</v>
      </c>
      <c r="AN30">
        <f t="shared" si="4"/>
        <v>0</v>
      </c>
      <c r="AO30">
        <f t="shared" si="5"/>
        <v>0</v>
      </c>
      <c r="AP30">
        <f t="shared" si="6"/>
        <v>0</v>
      </c>
      <c r="AQ30">
        <f t="shared" si="7"/>
        <v>0</v>
      </c>
      <c r="AR30">
        <f t="shared" si="8"/>
        <v>0</v>
      </c>
      <c r="AS30">
        <f t="shared" si="9"/>
        <v>0</v>
      </c>
      <c r="AT30">
        <f t="shared" si="10"/>
        <v>0</v>
      </c>
      <c r="AU30">
        <f t="shared" si="11"/>
        <v>0</v>
      </c>
      <c r="AV30">
        <f t="shared" si="12"/>
        <v>0</v>
      </c>
      <c r="AW30">
        <f t="shared" si="13"/>
        <v>0</v>
      </c>
      <c r="AX30">
        <f t="shared" si="14"/>
        <v>0</v>
      </c>
      <c r="AY30">
        <f t="shared" si="15"/>
        <v>1</v>
      </c>
      <c r="AZ30">
        <f t="shared" si="16"/>
        <v>2</v>
      </c>
      <c r="BA30">
        <f t="shared" si="17"/>
        <v>3</v>
      </c>
      <c r="BB30">
        <f t="shared" si="18"/>
        <v>4</v>
      </c>
      <c r="BC30">
        <f t="shared" si="19"/>
        <v>5</v>
      </c>
      <c r="BD30">
        <f t="shared" si="20"/>
        <v>5</v>
      </c>
      <c r="BE30">
        <f t="shared" si="21"/>
        <v>4</v>
      </c>
      <c r="BF30">
        <f t="shared" si="22"/>
        <v>3</v>
      </c>
      <c r="BG30">
        <f t="shared" si="23"/>
        <v>2</v>
      </c>
      <c r="BH30">
        <f t="shared" si="24"/>
        <v>1</v>
      </c>
      <c r="BI30">
        <f t="shared" si="25"/>
        <v>0</v>
      </c>
      <c r="BJ30">
        <f t="shared" si="26"/>
        <v>0</v>
      </c>
      <c r="BK30">
        <f t="shared" si="27"/>
        <v>0</v>
      </c>
      <c r="BL30">
        <f t="shared" si="28"/>
        <v>0</v>
      </c>
      <c r="BM30">
        <f t="shared" si="29"/>
        <v>30</v>
      </c>
    </row>
    <row r="31" spans="1:65">
      <c r="A31" s="19" t="s">
        <v>125</v>
      </c>
      <c r="B31" s="19" t="s">
        <v>344</v>
      </c>
      <c r="C31" s="19" t="s">
        <v>18</v>
      </c>
      <c r="D31" s="25" t="s">
        <v>327</v>
      </c>
      <c r="E31" s="21">
        <v>14900</v>
      </c>
      <c r="F31" s="19">
        <v>11</v>
      </c>
      <c r="G31" s="19">
        <v>11</v>
      </c>
      <c r="H31" s="19">
        <f t="shared" si="0"/>
        <v>1</v>
      </c>
      <c r="I31" s="19" t="s">
        <v>39</v>
      </c>
      <c r="J31" s="32" t="s">
        <v>73</v>
      </c>
      <c r="K31" s="33">
        <f t="shared" ref="K31:T33" si="48">IF(AND(K$79&gt;=$F31,K$79&lt;=$G31),$E31/$H31,0)</f>
        <v>0</v>
      </c>
      <c r="L31" s="33">
        <f t="shared" si="48"/>
        <v>0</v>
      </c>
      <c r="M31" s="33">
        <f t="shared" si="48"/>
        <v>0</v>
      </c>
      <c r="N31" s="33">
        <f t="shared" si="48"/>
        <v>0</v>
      </c>
      <c r="O31" s="33">
        <f t="shared" si="48"/>
        <v>0</v>
      </c>
      <c r="P31" s="33">
        <f t="shared" si="48"/>
        <v>0</v>
      </c>
      <c r="Q31" s="33">
        <f t="shared" si="48"/>
        <v>0</v>
      </c>
      <c r="R31" s="33">
        <f t="shared" si="48"/>
        <v>0</v>
      </c>
      <c r="S31" s="33">
        <f t="shared" si="48"/>
        <v>0</v>
      </c>
      <c r="T31" s="33">
        <f t="shared" si="48"/>
        <v>0</v>
      </c>
      <c r="U31" s="33">
        <f t="shared" ref="U31:AD33" si="49">IF(AND(U$79&gt;=$F31,U$79&lt;=$G31),$E31/$H31,0)</f>
        <v>14900</v>
      </c>
      <c r="V31" s="33">
        <f t="shared" si="49"/>
        <v>0</v>
      </c>
      <c r="W31" s="33">
        <f t="shared" si="49"/>
        <v>0</v>
      </c>
      <c r="X31" s="33">
        <f t="shared" si="49"/>
        <v>0</v>
      </c>
      <c r="Y31" s="33">
        <f t="shared" si="49"/>
        <v>0</v>
      </c>
      <c r="Z31" s="33">
        <f t="shared" si="49"/>
        <v>0</v>
      </c>
      <c r="AA31" s="33">
        <f t="shared" si="49"/>
        <v>0</v>
      </c>
      <c r="AB31" s="33">
        <f t="shared" si="49"/>
        <v>0</v>
      </c>
      <c r="AC31" s="33">
        <f t="shared" si="49"/>
        <v>0</v>
      </c>
      <c r="AD31" s="33">
        <f t="shared" si="49"/>
        <v>0</v>
      </c>
      <c r="AE31" s="33">
        <f t="shared" ref="AE31:AJ33" si="50">IF(AND(AE$79&gt;=$F31,AE$79&lt;=$G31),$E31/$H31,0)</f>
        <v>0</v>
      </c>
      <c r="AF31" s="33">
        <f t="shared" si="50"/>
        <v>0</v>
      </c>
      <c r="AG31" s="33">
        <f t="shared" si="50"/>
        <v>0</v>
      </c>
      <c r="AH31" s="33">
        <f t="shared" si="50"/>
        <v>0</v>
      </c>
      <c r="AI31" s="33">
        <f t="shared" si="50"/>
        <v>0</v>
      </c>
      <c r="AJ31" s="33">
        <f t="shared" si="50"/>
        <v>0</v>
      </c>
      <c r="AK31" s="14">
        <f t="shared" si="2"/>
        <v>0</v>
      </c>
      <c r="AM31">
        <f t="shared" si="3"/>
        <v>0</v>
      </c>
      <c r="AN31">
        <f t="shared" si="4"/>
        <v>0</v>
      </c>
      <c r="AO31">
        <f t="shared" si="5"/>
        <v>0</v>
      </c>
      <c r="AP31">
        <f t="shared" si="6"/>
        <v>0</v>
      </c>
      <c r="AQ31">
        <f t="shared" si="7"/>
        <v>0</v>
      </c>
      <c r="AR31">
        <f t="shared" si="8"/>
        <v>0</v>
      </c>
      <c r="AS31">
        <f t="shared" si="9"/>
        <v>0</v>
      </c>
      <c r="AT31">
        <f t="shared" si="10"/>
        <v>0</v>
      </c>
      <c r="AU31">
        <f t="shared" si="11"/>
        <v>0</v>
      </c>
      <c r="AV31">
        <f t="shared" si="12"/>
        <v>0</v>
      </c>
      <c r="AW31">
        <f t="shared" si="13"/>
        <v>1</v>
      </c>
      <c r="AX31">
        <f t="shared" si="14"/>
        <v>0</v>
      </c>
      <c r="AY31">
        <f t="shared" si="15"/>
        <v>0</v>
      </c>
      <c r="AZ31">
        <f t="shared" si="16"/>
        <v>0</v>
      </c>
      <c r="BA31">
        <f t="shared" si="17"/>
        <v>0</v>
      </c>
      <c r="BB31">
        <f t="shared" si="18"/>
        <v>0</v>
      </c>
      <c r="BC31">
        <f t="shared" si="19"/>
        <v>0</v>
      </c>
      <c r="BD31">
        <f t="shared" si="20"/>
        <v>0</v>
      </c>
      <c r="BE31">
        <f t="shared" si="21"/>
        <v>0</v>
      </c>
      <c r="BF31">
        <f t="shared" si="22"/>
        <v>0</v>
      </c>
      <c r="BG31">
        <f t="shared" si="23"/>
        <v>0</v>
      </c>
      <c r="BH31">
        <f t="shared" si="24"/>
        <v>0</v>
      </c>
      <c r="BI31">
        <f t="shared" si="25"/>
        <v>0</v>
      </c>
      <c r="BJ31">
        <f t="shared" si="26"/>
        <v>0</v>
      </c>
      <c r="BK31">
        <f t="shared" si="27"/>
        <v>0</v>
      </c>
      <c r="BL31">
        <f t="shared" si="28"/>
        <v>0</v>
      </c>
      <c r="BM31">
        <f t="shared" si="29"/>
        <v>1</v>
      </c>
    </row>
    <row r="32" spans="1:65" ht="25">
      <c r="A32" s="19" t="s">
        <v>128</v>
      </c>
      <c r="B32" s="19" t="s">
        <v>345</v>
      </c>
      <c r="C32" s="19" t="s">
        <v>18</v>
      </c>
      <c r="D32" s="25" t="s">
        <v>327</v>
      </c>
      <c r="E32" s="21">
        <v>44700</v>
      </c>
      <c r="F32" s="19">
        <v>11</v>
      </c>
      <c r="G32" s="19">
        <v>11</v>
      </c>
      <c r="H32" s="19">
        <f t="shared" si="0"/>
        <v>1</v>
      </c>
      <c r="I32" s="19" t="s">
        <v>39</v>
      </c>
      <c r="J32" s="32" t="s">
        <v>130</v>
      </c>
      <c r="K32" s="33">
        <f t="shared" si="48"/>
        <v>0</v>
      </c>
      <c r="L32" s="33">
        <f t="shared" si="48"/>
        <v>0</v>
      </c>
      <c r="M32" s="33">
        <f t="shared" si="48"/>
        <v>0</v>
      </c>
      <c r="N32" s="33">
        <f t="shared" si="48"/>
        <v>0</v>
      </c>
      <c r="O32" s="33">
        <f t="shared" si="48"/>
        <v>0</v>
      </c>
      <c r="P32" s="33">
        <f t="shared" si="48"/>
        <v>0</v>
      </c>
      <c r="Q32" s="33">
        <f t="shared" si="48"/>
        <v>0</v>
      </c>
      <c r="R32" s="33">
        <f t="shared" si="48"/>
        <v>0</v>
      </c>
      <c r="S32" s="33">
        <f t="shared" si="48"/>
        <v>0</v>
      </c>
      <c r="T32" s="33">
        <f t="shared" si="48"/>
        <v>0</v>
      </c>
      <c r="U32" s="33">
        <f t="shared" si="49"/>
        <v>44700</v>
      </c>
      <c r="V32" s="33">
        <f t="shared" si="49"/>
        <v>0</v>
      </c>
      <c r="W32" s="33">
        <f t="shared" si="49"/>
        <v>0</v>
      </c>
      <c r="X32" s="33">
        <f t="shared" si="49"/>
        <v>0</v>
      </c>
      <c r="Y32" s="33">
        <f t="shared" si="49"/>
        <v>0</v>
      </c>
      <c r="Z32" s="33">
        <f t="shared" si="49"/>
        <v>0</v>
      </c>
      <c r="AA32" s="33">
        <f t="shared" si="49"/>
        <v>0</v>
      </c>
      <c r="AB32" s="33">
        <f t="shared" si="49"/>
        <v>0</v>
      </c>
      <c r="AC32" s="33">
        <f t="shared" si="49"/>
        <v>0</v>
      </c>
      <c r="AD32" s="33">
        <f t="shared" si="49"/>
        <v>0</v>
      </c>
      <c r="AE32" s="33">
        <f t="shared" si="50"/>
        <v>0</v>
      </c>
      <c r="AF32" s="33">
        <f t="shared" si="50"/>
        <v>0</v>
      </c>
      <c r="AG32" s="33">
        <f t="shared" si="50"/>
        <v>0</v>
      </c>
      <c r="AH32" s="33">
        <f t="shared" si="50"/>
        <v>0</v>
      </c>
      <c r="AI32" s="33">
        <f t="shared" si="50"/>
        <v>0</v>
      </c>
      <c r="AJ32" s="33">
        <f t="shared" si="50"/>
        <v>0</v>
      </c>
      <c r="AK32" s="14">
        <f t="shared" si="2"/>
        <v>0</v>
      </c>
      <c r="AM32">
        <f t="shared" si="3"/>
        <v>0</v>
      </c>
      <c r="AN32">
        <f t="shared" si="4"/>
        <v>0</v>
      </c>
      <c r="AO32">
        <f t="shared" si="5"/>
        <v>0</v>
      </c>
      <c r="AP32">
        <f t="shared" si="6"/>
        <v>0</v>
      </c>
      <c r="AQ32">
        <f t="shared" si="7"/>
        <v>0</v>
      </c>
      <c r="AR32">
        <f t="shared" si="8"/>
        <v>0</v>
      </c>
      <c r="AS32">
        <f t="shared" si="9"/>
        <v>0</v>
      </c>
      <c r="AT32">
        <f t="shared" si="10"/>
        <v>0</v>
      </c>
      <c r="AU32">
        <f t="shared" si="11"/>
        <v>0</v>
      </c>
      <c r="AV32">
        <f t="shared" si="12"/>
        <v>0</v>
      </c>
      <c r="AW32">
        <f t="shared" si="13"/>
        <v>1</v>
      </c>
      <c r="AX32">
        <f t="shared" si="14"/>
        <v>0</v>
      </c>
      <c r="AY32">
        <f t="shared" si="15"/>
        <v>0</v>
      </c>
      <c r="AZ32">
        <f t="shared" si="16"/>
        <v>0</v>
      </c>
      <c r="BA32">
        <f t="shared" si="17"/>
        <v>0</v>
      </c>
      <c r="BB32">
        <f t="shared" si="18"/>
        <v>0</v>
      </c>
      <c r="BC32">
        <f t="shared" si="19"/>
        <v>0</v>
      </c>
      <c r="BD32">
        <f t="shared" si="20"/>
        <v>0</v>
      </c>
      <c r="BE32">
        <f t="shared" si="21"/>
        <v>0</v>
      </c>
      <c r="BF32">
        <f t="shared" si="22"/>
        <v>0</v>
      </c>
      <c r="BG32">
        <f t="shared" si="23"/>
        <v>0</v>
      </c>
      <c r="BH32">
        <f t="shared" si="24"/>
        <v>0</v>
      </c>
      <c r="BI32">
        <f t="shared" si="25"/>
        <v>0</v>
      </c>
      <c r="BJ32">
        <f t="shared" si="26"/>
        <v>0</v>
      </c>
      <c r="BK32">
        <f t="shared" si="27"/>
        <v>0</v>
      </c>
      <c r="BL32">
        <f t="shared" si="28"/>
        <v>0</v>
      </c>
      <c r="BM32">
        <f t="shared" si="29"/>
        <v>1</v>
      </c>
    </row>
    <row r="33" spans="1:65" ht="25">
      <c r="A33" s="19" t="s">
        <v>131</v>
      </c>
      <c r="B33" s="19" t="s">
        <v>346</v>
      </c>
      <c r="C33" s="19" t="s">
        <v>18</v>
      </c>
      <c r="D33" s="25" t="s">
        <v>327</v>
      </c>
      <c r="E33" s="21">
        <v>238400</v>
      </c>
      <c r="F33" s="19">
        <v>12</v>
      </c>
      <c r="G33" s="19">
        <v>12</v>
      </c>
      <c r="H33" s="19">
        <f t="shared" si="0"/>
        <v>1</v>
      </c>
      <c r="I33" s="19" t="s">
        <v>39</v>
      </c>
      <c r="J33" s="32" t="s">
        <v>133</v>
      </c>
      <c r="K33" s="33">
        <f t="shared" si="48"/>
        <v>0</v>
      </c>
      <c r="L33" s="33">
        <f t="shared" si="48"/>
        <v>0</v>
      </c>
      <c r="M33" s="33">
        <f t="shared" si="48"/>
        <v>0</v>
      </c>
      <c r="N33" s="33">
        <f t="shared" si="48"/>
        <v>0</v>
      </c>
      <c r="O33" s="33">
        <f t="shared" si="48"/>
        <v>0</v>
      </c>
      <c r="P33" s="33">
        <f t="shared" si="48"/>
        <v>0</v>
      </c>
      <c r="Q33" s="33">
        <f t="shared" si="48"/>
        <v>0</v>
      </c>
      <c r="R33" s="33">
        <f t="shared" si="48"/>
        <v>0</v>
      </c>
      <c r="S33" s="33">
        <f t="shared" si="48"/>
        <v>0</v>
      </c>
      <c r="T33" s="33">
        <f t="shared" si="48"/>
        <v>0</v>
      </c>
      <c r="U33" s="33">
        <f t="shared" si="49"/>
        <v>0</v>
      </c>
      <c r="V33" s="33">
        <f t="shared" si="49"/>
        <v>238400</v>
      </c>
      <c r="W33" s="33">
        <f t="shared" si="49"/>
        <v>0</v>
      </c>
      <c r="X33" s="33">
        <f t="shared" si="49"/>
        <v>0</v>
      </c>
      <c r="Y33" s="33">
        <f t="shared" si="49"/>
        <v>0</v>
      </c>
      <c r="Z33" s="33">
        <f t="shared" si="49"/>
        <v>0</v>
      </c>
      <c r="AA33" s="33">
        <f t="shared" si="49"/>
        <v>0</v>
      </c>
      <c r="AB33" s="33">
        <f t="shared" si="49"/>
        <v>0</v>
      </c>
      <c r="AC33" s="33">
        <f t="shared" si="49"/>
        <v>0</v>
      </c>
      <c r="AD33" s="33">
        <f t="shared" si="49"/>
        <v>0</v>
      </c>
      <c r="AE33" s="33">
        <f t="shared" si="50"/>
        <v>0</v>
      </c>
      <c r="AF33" s="33">
        <f t="shared" si="50"/>
        <v>0</v>
      </c>
      <c r="AG33" s="33">
        <f t="shared" si="50"/>
        <v>0</v>
      </c>
      <c r="AH33" s="33">
        <f t="shared" si="50"/>
        <v>0</v>
      </c>
      <c r="AI33" s="33">
        <f t="shared" si="50"/>
        <v>0</v>
      </c>
      <c r="AJ33" s="33">
        <f t="shared" si="50"/>
        <v>0</v>
      </c>
      <c r="AK33" s="14">
        <f t="shared" si="2"/>
        <v>0</v>
      </c>
      <c r="AM33">
        <f t="shared" si="3"/>
        <v>0</v>
      </c>
      <c r="AN33">
        <f t="shared" si="4"/>
        <v>0</v>
      </c>
      <c r="AO33">
        <f t="shared" si="5"/>
        <v>0</v>
      </c>
      <c r="AP33">
        <f t="shared" si="6"/>
        <v>0</v>
      </c>
      <c r="AQ33">
        <f t="shared" si="7"/>
        <v>0</v>
      </c>
      <c r="AR33">
        <f t="shared" si="8"/>
        <v>0</v>
      </c>
      <c r="AS33">
        <f t="shared" si="9"/>
        <v>0</v>
      </c>
      <c r="AT33">
        <f t="shared" si="10"/>
        <v>0</v>
      </c>
      <c r="AU33">
        <f t="shared" si="11"/>
        <v>0</v>
      </c>
      <c r="AV33">
        <f t="shared" si="12"/>
        <v>0</v>
      </c>
      <c r="AW33">
        <f t="shared" si="13"/>
        <v>0</v>
      </c>
      <c r="AX33">
        <f t="shared" si="14"/>
        <v>1</v>
      </c>
      <c r="AY33">
        <f t="shared" si="15"/>
        <v>0</v>
      </c>
      <c r="AZ33">
        <f t="shared" si="16"/>
        <v>0</v>
      </c>
      <c r="BA33">
        <f t="shared" si="17"/>
        <v>0</v>
      </c>
      <c r="BB33">
        <f t="shared" si="18"/>
        <v>0</v>
      </c>
      <c r="BC33">
        <f t="shared" si="19"/>
        <v>0</v>
      </c>
      <c r="BD33">
        <f t="shared" si="20"/>
        <v>0</v>
      </c>
      <c r="BE33">
        <f t="shared" si="21"/>
        <v>0</v>
      </c>
      <c r="BF33">
        <f t="shared" si="22"/>
        <v>0</v>
      </c>
      <c r="BG33">
        <f t="shared" si="23"/>
        <v>0</v>
      </c>
      <c r="BH33">
        <f t="shared" si="24"/>
        <v>0</v>
      </c>
      <c r="BI33">
        <f t="shared" si="25"/>
        <v>0</v>
      </c>
      <c r="BJ33">
        <f t="shared" si="26"/>
        <v>0</v>
      </c>
      <c r="BK33">
        <f t="shared" si="27"/>
        <v>0</v>
      </c>
      <c r="BL33">
        <f t="shared" si="28"/>
        <v>0</v>
      </c>
      <c r="BM33">
        <f t="shared" si="29"/>
        <v>1</v>
      </c>
    </row>
    <row r="34" spans="1:65" ht="37.5">
      <c r="A34" s="19" t="s">
        <v>134</v>
      </c>
      <c r="B34" s="19" t="s">
        <v>347</v>
      </c>
      <c r="C34" s="19" t="s">
        <v>18</v>
      </c>
      <c r="D34" s="26" t="s">
        <v>331</v>
      </c>
      <c r="E34" s="21">
        <v>1192000</v>
      </c>
      <c r="F34" s="19">
        <v>13</v>
      </c>
      <c r="G34" s="19">
        <v>21</v>
      </c>
      <c r="H34" s="19">
        <f t="shared" si="0"/>
        <v>9</v>
      </c>
      <c r="I34" s="19" t="s">
        <v>39</v>
      </c>
      <c r="J34" s="32" t="s">
        <v>136</v>
      </c>
      <c r="K34" s="33">
        <f t="shared" ref="K34:AJ34" si="51">IF(AND(K$79&gt;=$F34,K$79&lt;=$G34),AM34/$BM$34*$E34,0)</f>
        <v>0</v>
      </c>
      <c r="L34" s="33">
        <f t="shared" si="51"/>
        <v>0</v>
      </c>
      <c r="M34" s="33">
        <f t="shared" si="51"/>
        <v>0</v>
      </c>
      <c r="N34" s="33">
        <f t="shared" si="51"/>
        <v>0</v>
      </c>
      <c r="O34" s="33">
        <f t="shared" si="51"/>
        <v>0</v>
      </c>
      <c r="P34" s="33">
        <f t="shared" si="51"/>
        <v>0</v>
      </c>
      <c r="Q34" s="33">
        <f t="shared" si="51"/>
        <v>0</v>
      </c>
      <c r="R34" s="33">
        <f t="shared" si="51"/>
        <v>0</v>
      </c>
      <c r="S34" s="33">
        <f t="shared" si="51"/>
        <v>0</v>
      </c>
      <c r="T34" s="33">
        <f t="shared" si="51"/>
        <v>0</v>
      </c>
      <c r="U34" s="33">
        <f t="shared" si="51"/>
        <v>0</v>
      </c>
      <c r="V34" s="33">
        <f t="shared" si="51"/>
        <v>0</v>
      </c>
      <c r="W34" s="33">
        <f t="shared" si="51"/>
        <v>47680</v>
      </c>
      <c r="X34" s="33">
        <f t="shared" si="51"/>
        <v>95360</v>
      </c>
      <c r="Y34" s="33">
        <f t="shared" si="51"/>
        <v>143040</v>
      </c>
      <c r="Z34" s="33">
        <f t="shared" si="51"/>
        <v>190720</v>
      </c>
      <c r="AA34" s="33">
        <f t="shared" si="51"/>
        <v>238400</v>
      </c>
      <c r="AB34" s="33">
        <f t="shared" si="51"/>
        <v>190720</v>
      </c>
      <c r="AC34" s="33">
        <f t="shared" si="51"/>
        <v>143040</v>
      </c>
      <c r="AD34" s="33">
        <f t="shared" si="51"/>
        <v>95360</v>
      </c>
      <c r="AE34" s="33">
        <f t="shared" si="51"/>
        <v>47680</v>
      </c>
      <c r="AF34" s="33">
        <f t="shared" si="51"/>
        <v>0</v>
      </c>
      <c r="AG34" s="33">
        <f t="shared" si="51"/>
        <v>0</v>
      </c>
      <c r="AH34" s="33">
        <f t="shared" si="51"/>
        <v>0</v>
      </c>
      <c r="AI34" s="33">
        <f t="shared" si="51"/>
        <v>0</v>
      </c>
      <c r="AJ34" s="33">
        <f t="shared" si="51"/>
        <v>0</v>
      </c>
      <c r="AK34" s="14">
        <f t="shared" si="2"/>
        <v>0</v>
      </c>
      <c r="AM34">
        <f t="shared" si="3"/>
        <v>0</v>
      </c>
      <c r="AN34">
        <f t="shared" si="4"/>
        <v>0</v>
      </c>
      <c r="AO34">
        <f t="shared" si="5"/>
        <v>0</v>
      </c>
      <c r="AP34">
        <f t="shared" si="6"/>
        <v>0</v>
      </c>
      <c r="AQ34">
        <f t="shared" si="7"/>
        <v>0</v>
      </c>
      <c r="AR34">
        <f t="shared" si="8"/>
        <v>0</v>
      </c>
      <c r="AS34">
        <f t="shared" si="9"/>
        <v>0</v>
      </c>
      <c r="AT34">
        <f t="shared" si="10"/>
        <v>0</v>
      </c>
      <c r="AU34">
        <f t="shared" si="11"/>
        <v>0</v>
      </c>
      <c r="AV34">
        <f t="shared" si="12"/>
        <v>0</v>
      </c>
      <c r="AW34">
        <f t="shared" si="13"/>
        <v>0</v>
      </c>
      <c r="AX34">
        <f t="shared" si="14"/>
        <v>0</v>
      </c>
      <c r="AY34">
        <f t="shared" si="15"/>
        <v>1</v>
      </c>
      <c r="AZ34">
        <f t="shared" si="16"/>
        <v>2</v>
      </c>
      <c r="BA34">
        <f t="shared" si="17"/>
        <v>3</v>
      </c>
      <c r="BB34">
        <f t="shared" si="18"/>
        <v>4</v>
      </c>
      <c r="BC34">
        <f t="shared" si="19"/>
        <v>5</v>
      </c>
      <c r="BD34">
        <f t="shared" si="20"/>
        <v>4</v>
      </c>
      <c r="BE34">
        <f t="shared" si="21"/>
        <v>3</v>
      </c>
      <c r="BF34">
        <f t="shared" si="22"/>
        <v>2</v>
      </c>
      <c r="BG34">
        <f t="shared" si="23"/>
        <v>1</v>
      </c>
      <c r="BH34">
        <f t="shared" si="24"/>
        <v>0</v>
      </c>
      <c r="BI34">
        <f t="shared" si="25"/>
        <v>0</v>
      </c>
      <c r="BJ34">
        <f t="shared" si="26"/>
        <v>0</v>
      </c>
      <c r="BK34">
        <f t="shared" si="27"/>
        <v>0</v>
      </c>
      <c r="BL34">
        <f t="shared" si="28"/>
        <v>0</v>
      </c>
      <c r="BM34">
        <f t="shared" si="29"/>
        <v>25</v>
      </c>
    </row>
    <row r="35" spans="1:65" ht="25">
      <c r="A35" s="19" t="s">
        <v>137</v>
      </c>
      <c r="B35" s="19" t="s">
        <v>348</v>
      </c>
      <c r="C35" s="19" t="s">
        <v>19</v>
      </c>
      <c r="D35" s="25" t="s">
        <v>327</v>
      </c>
      <c r="E35" s="21">
        <v>14850</v>
      </c>
      <c r="F35" s="19">
        <v>11</v>
      </c>
      <c r="G35" s="19">
        <v>11</v>
      </c>
      <c r="H35" s="19">
        <f t="shared" si="0"/>
        <v>1</v>
      </c>
      <c r="I35" s="27" t="s">
        <v>115</v>
      </c>
      <c r="J35" s="32" t="s">
        <v>100</v>
      </c>
      <c r="K35" s="33">
        <f t="shared" ref="K35:T37" si="52">IF(AND(K$79&gt;=$F35,K$79&lt;=$G35),$E35/$H35,0)</f>
        <v>0</v>
      </c>
      <c r="L35" s="33">
        <f t="shared" si="52"/>
        <v>0</v>
      </c>
      <c r="M35" s="33">
        <f t="shared" si="52"/>
        <v>0</v>
      </c>
      <c r="N35" s="33">
        <f t="shared" si="52"/>
        <v>0</v>
      </c>
      <c r="O35" s="33">
        <f t="shared" si="52"/>
        <v>0</v>
      </c>
      <c r="P35" s="33">
        <f t="shared" si="52"/>
        <v>0</v>
      </c>
      <c r="Q35" s="33">
        <f t="shared" si="52"/>
        <v>0</v>
      </c>
      <c r="R35" s="33">
        <f t="shared" si="52"/>
        <v>0</v>
      </c>
      <c r="S35" s="33">
        <f t="shared" si="52"/>
        <v>0</v>
      </c>
      <c r="T35" s="33">
        <f t="shared" si="52"/>
        <v>0</v>
      </c>
      <c r="U35" s="33">
        <f t="shared" ref="U35:AD37" si="53">IF(AND(U$79&gt;=$F35,U$79&lt;=$G35),$E35/$H35,0)</f>
        <v>14850</v>
      </c>
      <c r="V35" s="33">
        <f t="shared" si="53"/>
        <v>0</v>
      </c>
      <c r="W35" s="33">
        <f t="shared" si="53"/>
        <v>0</v>
      </c>
      <c r="X35" s="33">
        <f t="shared" si="53"/>
        <v>0</v>
      </c>
      <c r="Y35" s="33">
        <f t="shared" si="53"/>
        <v>0</v>
      </c>
      <c r="Z35" s="33">
        <f t="shared" si="53"/>
        <v>0</v>
      </c>
      <c r="AA35" s="33">
        <f t="shared" si="53"/>
        <v>0</v>
      </c>
      <c r="AB35" s="33">
        <f t="shared" si="53"/>
        <v>0</v>
      </c>
      <c r="AC35" s="33">
        <f t="shared" si="53"/>
        <v>0</v>
      </c>
      <c r="AD35" s="33">
        <f t="shared" si="53"/>
        <v>0</v>
      </c>
      <c r="AE35" s="33">
        <f t="shared" ref="AE35:AJ37" si="54">IF(AND(AE$79&gt;=$F35,AE$79&lt;=$G35),$E35/$H35,0)</f>
        <v>0</v>
      </c>
      <c r="AF35" s="33">
        <f t="shared" si="54"/>
        <v>0</v>
      </c>
      <c r="AG35" s="33">
        <f t="shared" si="54"/>
        <v>0</v>
      </c>
      <c r="AH35" s="33">
        <f t="shared" si="54"/>
        <v>0</v>
      </c>
      <c r="AI35" s="33">
        <f t="shared" si="54"/>
        <v>0</v>
      </c>
      <c r="AJ35" s="33">
        <f t="shared" si="54"/>
        <v>0</v>
      </c>
      <c r="AK35" s="14">
        <f t="shared" si="2"/>
        <v>0</v>
      </c>
      <c r="AM35">
        <f t="shared" si="3"/>
        <v>0</v>
      </c>
      <c r="AN35">
        <f t="shared" si="4"/>
        <v>0</v>
      </c>
      <c r="AO35">
        <f t="shared" si="5"/>
        <v>0</v>
      </c>
      <c r="AP35">
        <f t="shared" si="6"/>
        <v>0</v>
      </c>
      <c r="AQ35">
        <f t="shared" si="7"/>
        <v>0</v>
      </c>
      <c r="AR35">
        <f t="shared" si="8"/>
        <v>0</v>
      </c>
      <c r="AS35">
        <f t="shared" si="9"/>
        <v>0</v>
      </c>
      <c r="AT35">
        <f t="shared" si="10"/>
        <v>0</v>
      </c>
      <c r="AU35">
        <f t="shared" si="11"/>
        <v>0</v>
      </c>
      <c r="AV35">
        <f t="shared" si="12"/>
        <v>0</v>
      </c>
      <c r="AW35">
        <f t="shared" si="13"/>
        <v>1</v>
      </c>
      <c r="AX35">
        <f t="shared" si="14"/>
        <v>0</v>
      </c>
      <c r="AY35">
        <f t="shared" si="15"/>
        <v>0</v>
      </c>
      <c r="AZ35">
        <f t="shared" si="16"/>
        <v>0</v>
      </c>
      <c r="BA35">
        <f t="shared" si="17"/>
        <v>0</v>
      </c>
      <c r="BB35">
        <f t="shared" si="18"/>
        <v>0</v>
      </c>
      <c r="BC35">
        <f t="shared" si="19"/>
        <v>0</v>
      </c>
      <c r="BD35">
        <f t="shared" si="20"/>
        <v>0</v>
      </c>
      <c r="BE35">
        <f t="shared" si="21"/>
        <v>0</v>
      </c>
      <c r="BF35">
        <f t="shared" si="22"/>
        <v>0</v>
      </c>
      <c r="BG35">
        <f t="shared" si="23"/>
        <v>0</v>
      </c>
      <c r="BH35">
        <f t="shared" si="24"/>
        <v>0</v>
      </c>
      <c r="BI35">
        <f t="shared" si="25"/>
        <v>0</v>
      </c>
      <c r="BJ35">
        <f t="shared" si="26"/>
        <v>0</v>
      </c>
      <c r="BK35">
        <f t="shared" si="27"/>
        <v>0</v>
      </c>
      <c r="BL35">
        <f t="shared" si="28"/>
        <v>0</v>
      </c>
      <c r="BM35">
        <f t="shared" si="29"/>
        <v>1</v>
      </c>
    </row>
    <row r="36" spans="1:65" ht="25">
      <c r="A36" s="19" t="s">
        <v>140</v>
      </c>
      <c r="B36" s="19" t="s">
        <v>349</v>
      </c>
      <c r="C36" s="19" t="s">
        <v>19</v>
      </c>
      <c r="D36" s="25" t="s">
        <v>327</v>
      </c>
      <c r="E36" s="21">
        <v>44550</v>
      </c>
      <c r="F36" s="19">
        <v>12</v>
      </c>
      <c r="G36" s="19">
        <v>12</v>
      </c>
      <c r="H36" s="19">
        <f t="shared" si="0"/>
        <v>1</v>
      </c>
      <c r="I36" s="27" t="s">
        <v>115</v>
      </c>
      <c r="J36" s="32" t="s">
        <v>142</v>
      </c>
      <c r="K36" s="33">
        <f t="shared" si="52"/>
        <v>0</v>
      </c>
      <c r="L36" s="33">
        <f t="shared" si="52"/>
        <v>0</v>
      </c>
      <c r="M36" s="33">
        <f t="shared" si="52"/>
        <v>0</v>
      </c>
      <c r="N36" s="33">
        <f t="shared" si="52"/>
        <v>0</v>
      </c>
      <c r="O36" s="33">
        <f t="shared" si="52"/>
        <v>0</v>
      </c>
      <c r="P36" s="33">
        <f t="shared" si="52"/>
        <v>0</v>
      </c>
      <c r="Q36" s="33">
        <f t="shared" si="52"/>
        <v>0</v>
      </c>
      <c r="R36" s="33">
        <f t="shared" si="52"/>
        <v>0</v>
      </c>
      <c r="S36" s="33">
        <f t="shared" si="52"/>
        <v>0</v>
      </c>
      <c r="T36" s="33">
        <f t="shared" si="52"/>
        <v>0</v>
      </c>
      <c r="U36" s="33">
        <f t="shared" si="53"/>
        <v>0</v>
      </c>
      <c r="V36" s="33">
        <f t="shared" si="53"/>
        <v>44550</v>
      </c>
      <c r="W36" s="33">
        <f t="shared" si="53"/>
        <v>0</v>
      </c>
      <c r="X36" s="33">
        <f t="shared" si="53"/>
        <v>0</v>
      </c>
      <c r="Y36" s="33">
        <f t="shared" si="53"/>
        <v>0</v>
      </c>
      <c r="Z36" s="33">
        <f t="shared" si="53"/>
        <v>0</v>
      </c>
      <c r="AA36" s="33">
        <f t="shared" si="53"/>
        <v>0</v>
      </c>
      <c r="AB36" s="33">
        <f t="shared" si="53"/>
        <v>0</v>
      </c>
      <c r="AC36" s="33">
        <f t="shared" si="53"/>
        <v>0</v>
      </c>
      <c r="AD36" s="33">
        <f t="shared" si="53"/>
        <v>0</v>
      </c>
      <c r="AE36" s="33">
        <f t="shared" si="54"/>
        <v>0</v>
      </c>
      <c r="AF36" s="33">
        <f t="shared" si="54"/>
        <v>0</v>
      </c>
      <c r="AG36" s="33">
        <f t="shared" si="54"/>
        <v>0</v>
      </c>
      <c r="AH36" s="33">
        <f t="shared" si="54"/>
        <v>0</v>
      </c>
      <c r="AI36" s="33">
        <f t="shared" si="54"/>
        <v>0</v>
      </c>
      <c r="AJ36" s="33">
        <f t="shared" si="54"/>
        <v>0</v>
      </c>
      <c r="AK36" s="14">
        <f t="shared" si="2"/>
        <v>0</v>
      </c>
      <c r="AM36">
        <f t="shared" si="3"/>
        <v>0</v>
      </c>
      <c r="AN36">
        <f t="shared" si="4"/>
        <v>0</v>
      </c>
      <c r="AO36">
        <f t="shared" si="5"/>
        <v>0</v>
      </c>
      <c r="AP36">
        <f t="shared" si="6"/>
        <v>0</v>
      </c>
      <c r="AQ36">
        <f t="shared" si="7"/>
        <v>0</v>
      </c>
      <c r="AR36">
        <f t="shared" si="8"/>
        <v>0</v>
      </c>
      <c r="AS36">
        <f t="shared" si="9"/>
        <v>0</v>
      </c>
      <c r="AT36">
        <f t="shared" si="10"/>
        <v>0</v>
      </c>
      <c r="AU36">
        <f t="shared" si="11"/>
        <v>0</v>
      </c>
      <c r="AV36">
        <f t="shared" si="12"/>
        <v>0</v>
      </c>
      <c r="AW36">
        <f t="shared" si="13"/>
        <v>0</v>
      </c>
      <c r="AX36">
        <f t="shared" si="14"/>
        <v>1</v>
      </c>
      <c r="AY36">
        <f t="shared" si="15"/>
        <v>0</v>
      </c>
      <c r="AZ36">
        <f t="shared" si="16"/>
        <v>0</v>
      </c>
      <c r="BA36">
        <f t="shared" si="17"/>
        <v>0</v>
      </c>
      <c r="BB36">
        <f t="shared" si="18"/>
        <v>0</v>
      </c>
      <c r="BC36">
        <f t="shared" si="19"/>
        <v>0</v>
      </c>
      <c r="BD36">
        <f t="shared" si="20"/>
        <v>0</v>
      </c>
      <c r="BE36">
        <f t="shared" si="21"/>
        <v>0</v>
      </c>
      <c r="BF36">
        <f t="shared" si="22"/>
        <v>0</v>
      </c>
      <c r="BG36">
        <f t="shared" si="23"/>
        <v>0</v>
      </c>
      <c r="BH36">
        <f t="shared" si="24"/>
        <v>0</v>
      </c>
      <c r="BI36">
        <f t="shared" si="25"/>
        <v>0</v>
      </c>
      <c r="BJ36">
        <f t="shared" si="26"/>
        <v>0</v>
      </c>
      <c r="BK36">
        <f t="shared" si="27"/>
        <v>0</v>
      </c>
      <c r="BL36">
        <f t="shared" si="28"/>
        <v>0</v>
      </c>
      <c r="BM36">
        <f t="shared" si="29"/>
        <v>1</v>
      </c>
    </row>
    <row r="37" spans="1:65">
      <c r="A37" s="19" t="s">
        <v>143</v>
      </c>
      <c r="B37" s="19" t="s">
        <v>350</v>
      </c>
      <c r="C37" s="19" t="s">
        <v>19</v>
      </c>
      <c r="D37" s="25" t="s">
        <v>327</v>
      </c>
      <c r="E37" s="21">
        <v>237600</v>
      </c>
      <c r="F37" s="19">
        <v>13</v>
      </c>
      <c r="G37" s="19">
        <v>14</v>
      </c>
      <c r="H37" s="19">
        <f t="shared" si="0"/>
        <v>2</v>
      </c>
      <c r="I37" s="27" t="s">
        <v>115</v>
      </c>
      <c r="J37" s="32" t="s">
        <v>145</v>
      </c>
      <c r="K37" s="33">
        <f t="shared" si="52"/>
        <v>0</v>
      </c>
      <c r="L37" s="33">
        <f t="shared" si="52"/>
        <v>0</v>
      </c>
      <c r="M37" s="33">
        <f t="shared" si="52"/>
        <v>0</v>
      </c>
      <c r="N37" s="33">
        <f t="shared" si="52"/>
        <v>0</v>
      </c>
      <c r="O37" s="33">
        <f t="shared" si="52"/>
        <v>0</v>
      </c>
      <c r="P37" s="33">
        <f t="shared" si="52"/>
        <v>0</v>
      </c>
      <c r="Q37" s="33">
        <f t="shared" si="52"/>
        <v>0</v>
      </c>
      <c r="R37" s="33">
        <f t="shared" si="52"/>
        <v>0</v>
      </c>
      <c r="S37" s="33">
        <f t="shared" si="52"/>
        <v>0</v>
      </c>
      <c r="T37" s="33">
        <f t="shared" si="52"/>
        <v>0</v>
      </c>
      <c r="U37" s="33">
        <f t="shared" si="53"/>
        <v>0</v>
      </c>
      <c r="V37" s="33">
        <f t="shared" si="53"/>
        <v>0</v>
      </c>
      <c r="W37" s="33">
        <f t="shared" si="53"/>
        <v>118800</v>
      </c>
      <c r="X37" s="33">
        <f t="shared" si="53"/>
        <v>118800</v>
      </c>
      <c r="Y37" s="33">
        <f t="shared" si="53"/>
        <v>0</v>
      </c>
      <c r="Z37" s="33">
        <f t="shared" si="53"/>
        <v>0</v>
      </c>
      <c r="AA37" s="33">
        <f t="shared" si="53"/>
        <v>0</v>
      </c>
      <c r="AB37" s="33">
        <f t="shared" si="53"/>
        <v>0</v>
      </c>
      <c r="AC37" s="33">
        <f t="shared" si="53"/>
        <v>0</v>
      </c>
      <c r="AD37" s="33">
        <f t="shared" si="53"/>
        <v>0</v>
      </c>
      <c r="AE37" s="33">
        <f t="shared" si="54"/>
        <v>0</v>
      </c>
      <c r="AF37" s="33">
        <f t="shared" si="54"/>
        <v>0</v>
      </c>
      <c r="AG37" s="33">
        <f t="shared" si="54"/>
        <v>0</v>
      </c>
      <c r="AH37" s="33">
        <f t="shared" si="54"/>
        <v>0</v>
      </c>
      <c r="AI37" s="33">
        <f t="shared" si="54"/>
        <v>0</v>
      </c>
      <c r="AJ37" s="33">
        <f t="shared" si="54"/>
        <v>0</v>
      </c>
      <c r="AK37" s="14">
        <f t="shared" si="2"/>
        <v>0</v>
      </c>
      <c r="AM37">
        <f t="shared" si="3"/>
        <v>0</v>
      </c>
      <c r="AN37">
        <f t="shared" si="4"/>
        <v>0</v>
      </c>
      <c r="AO37">
        <f t="shared" si="5"/>
        <v>0</v>
      </c>
      <c r="AP37">
        <f t="shared" si="6"/>
        <v>0</v>
      </c>
      <c r="AQ37">
        <f t="shared" si="7"/>
        <v>0</v>
      </c>
      <c r="AR37">
        <f t="shared" si="8"/>
        <v>0</v>
      </c>
      <c r="AS37">
        <f t="shared" si="9"/>
        <v>0</v>
      </c>
      <c r="AT37">
        <f t="shared" si="10"/>
        <v>0</v>
      </c>
      <c r="AU37">
        <f t="shared" si="11"/>
        <v>0</v>
      </c>
      <c r="AV37">
        <f t="shared" si="12"/>
        <v>0</v>
      </c>
      <c r="AW37">
        <f t="shared" si="13"/>
        <v>0</v>
      </c>
      <c r="AX37">
        <f t="shared" si="14"/>
        <v>0</v>
      </c>
      <c r="AY37">
        <f t="shared" si="15"/>
        <v>1</v>
      </c>
      <c r="AZ37">
        <f t="shared" si="16"/>
        <v>1</v>
      </c>
      <c r="BA37">
        <f t="shared" si="17"/>
        <v>0</v>
      </c>
      <c r="BB37">
        <f t="shared" si="18"/>
        <v>0</v>
      </c>
      <c r="BC37">
        <f t="shared" si="19"/>
        <v>0</v>
      </c>
      <c r="BD37">
        <f t="shared" si="20"/>
        <v>0</v>
      </c>
      <c r="BE37">
        <f t="shared" si="21"/>
        <v>0</v>
      </c>
      <c r="BF37">
        <f t="shared" si="22"/>
        <v>0</v>
      </c>
      <c r="BG37">
        <f t="shared" si="23"/>
        <v>0</v>
      </c>
      <c r="BH37">
        <f t="shared" si="24"/>
        <v>0</v>
      </c>
      <c r="BI37">
        <f t="shared" si="25"/>
        <v>0</v>
      </c>
      <c r="BJ37">
        <f t="shared" si="26"/>
        <v>0</v>
      </c>
      <c r="BK37">
        <f t="shared" si="27"/>
        <v>0</v>
      </c>
      <c r="BL37">
        <f t="shared" si="28"/>
        <v>0</v>
      </c>
      <c r="BM37">
        <f t="shared" si="29"/>
        <v>2</v>
      </c>
    </row>
    <row r="38" spans="1:65" ht="37.5">
      <c r="A38" s="19" t="s">
        <v>146</v>
      </c>
      <c r="B38" s="19" t="s">
        <v>351</v>
      </c>
      <c r="C38" s="19" t="s">
        <v>19</v>
      </c>
      <c r="D38" s="26" t="s">
        <v>331</v>
      </c>
      <c r="E38" s="21">
        <v>693000</v>
      </c>
      <c r="F38" s="19">
        <v>15</v>
      </c>
      <c r="G38" s="19">
        <v>21</v>
      </c>
      <c r="H38" s="19">
        <f t="shared" ref="H38:H69" si="55">G38-F38+1</f>
        <v>7</v>
      </c>
      <c r="I38" s="19" t="s">
        <v>39</v>
      </c>
      <c r="J38" s="32" t="s">
        <v>148</v>
      </c>
      <c r="K38" s="33">
        <f t="shared" ref="K38:AJ38" si="56">IF(AND(K$79&gt;=$F38,K$79&lt;=$G38),AM38/$BM$38*$E38,0)</f>
        <v>0</v>
      </c>
      <c r="L38" s="33">
        <f t="shared" si="56"/>
        <v>0</v>
      </c>
      <c r="M38" s="33">
        <f t="shared" si="56"/>
        <v>0</v>
      </c>
      <c r="N38" s="33">
        <f t="shared" si="56"/>
        <v>0</v>
      </c>
      <c r="O38" s="33">
        <f t="shared" si="56"/>
        <v>0</v>
      </c>
      <c r="P38" s="33">
        <f t="shared" si="56"/>
        <v>0</v>
      </c>
      <c r="Q38" s="33">
        <f t="shared" si="56"/>
        <v>0</v>
      </c>
      <c r="R38" s="33">
        <f t="shared" si="56"/>
        <v>0</v>
      </c>
      <c r="S38" s="33">
        <f t="shared" si="56"/>
        <v>0</v>
      </c>
      <c r="T38" s="33">
        <f t="shared" si="56"/>
        <v>0</v>
      </c>
      <c r="U38" s="33">
        <f t="shared" si="56"/>
        <v>0</v>
      </c>
      <c r="V38" s="33">
        <f t="shared" si="56"/>
        <v>0</v>
      </c>
      <c r="W38" s="33">
        <f t="shared" si="56"/>
        <v>0</v>
      </c>
      <c r="X38" s="33">
        <f t="shared" si="56"/>
        <v>0</v>
      </c>
      <c r="Y38" s="33">
        <f t="shared" si="56"/>
        <v>43312.5</v>
      </c>
      <c r="Z38" s="33">
        <f t="shared" si="56"/>
        <v>86625</v>
      </c>
      <c r="AA38" s="33">
        <f t="shared" si="56"/>
        <v>129937.5</v>
      </c>
      <c r="AB38" s="33">
        <f t="shared" si="56"/>
        <v>173250</v>
      </c>
      <c r="AC38" s="33">
        <f t="shared" si="56"/>
        <v>129937.5</v>
      </c>
      <c r="AD38" s="33">
        <f t="shared" si="56"/>
        <v>86625</v>
      </c>
      <c r="AE38" s="33">
        <f t="shared" si="56"/>
        <v>43312.5</v>
      </c>
      <c r="AF38" s="33">
        <f t="shared" si="56"/>
        <v>0</v>
      </c>
      <c r="AG38" s="33">
        <f t="shared" si="56"/>
        <v>0</v>
      </c>
      <c r="AH38" s="33">
        <f t="shared" si="56"/>
        <v>0</v>
      </c>
      <c r="AI38" s="33">
        <f t="shared" si="56"/>
        <v>0</v>
      </c>
      <c r="AJ38" s="33">
        <f t="shared" si="56"/>
        <v>0</v>
      </c>
      <c r="AK38" s="14">
        <f t="shared" ref="AK38:AK69" si="57">SUM(K38:AJ38)-E38</f>
        <v>0</v>
      </c>
      <c r="AM38">
        <f t="shared" ref="AM38:AM69" si="58">IF(AND(K$79&gt;=$F38,K$79&lt;=$G38),(($G38-$F38)/2-ABS(K$79-($F38+$G38)/2))+1,0)</f>
        <v>0</v>
      </c>
      <c r="AN38">
        <f t="shared" ref="AN38:AN69" si="59">IF(AND(L$79&gt;=$F38,L$79&lt;=$G38),(($G38-$F38)/2-ABS(L$79-($F38+$G38)/2))+1,0)</f>
        <v>0</v>
      </c>
      <c r="AO38">
        <f t="shared" ref="AO38:AO69" si="60">IF(AND(M$79&gt;=$F38,M$79&lt;=$G38),(($G38-$F38)/2-ABS(M$79-($F38+$G38)/2))+1,0)</f>
        <v>0</v>
      </c>
      <c r="AP38">
        <f t="shared" ref="AP38:AP69" si="61">IF(AND(N$79&gt;=$F38,N$79&lt;=$G38),(($G38-$F38)/2-ABS(N$79-($F38+$G38)/2))+1,0)</f>
        <v>0</v>
      </c>
      <c r="AQ38">
        <f t="shared" ref="AQ38:AQ69" si="62">IF(AND(O$79&gt;=$F38,O$79&lt;=$G38),(($G38-$F38)/2-ABS(O$79-($F38+$G38)/2))+1,0)</f>
        <v>0</v>
      </c>
      <c r="AR38">
        <f t="shared" ref="AR38:AR69" si="63">IF(AND(P$79&gt;=$F38,P$79&lt;=$G38),(($G38-$F38)/2-ABS(P$79-($F38+$G38)/2))+1,0)</f>
        <v>0</v>
      </c>
      <c r="AS38">
        <f t="shared" ref="AS38:AS69" si="64">IF(AND(Q$79&gt;=$F38,Q$79&lt;=$G38),(($G38-$F38)/2-ABS(Q$79-($F38+$G38)/2))+1,0)</f>
        <v>0</v>
      </c>
      <c r="AT38">
        <f t="shared" ref="AT38:AT69" si="65">IF(AND(R$79&gt;=$F38,R$79&lt;=$G38),(($G38-$F38)/2-ABS(R$79-($F38+$G38)/2))+1,0)</f>
        <v>0</v>
      </c>
      <c r="AU38">
        <f t="shared" ref="AU38:AU69" si="66">IF(AND(S$79&gt;=$F38,S$79&lt;=$G38),(($G38-$F38)/2-ABS(S$79-($F38+$G38)/2))+1,0)</f>
        <v>0</v>
      </c>
      <c r="AV38">
        <f t="shared" ref="AV38:AV69" si="67">IF(AND(T$79&gt;=$F38,T$79&lt;=$G38),(($G38-$F38)/2-ABS(T$79-($F38+$G38)/2))+1,0)</f>
        <v>0</v>
      </c>
      <c r="AW38">
        <f t="shared" ref="AW38:AW69" si="68">IF(AND(U$79&gt;=$F38,U$79&lt;=$G38),(($G38-$F38)/2-ABS(U$79-($F38+$G38)/2))+1,0)</f>
        <v>0</v>
      </c>
      <c r="AX38">
        <f t="shared" ref="AX38:AX69" si="69">IF(AND(V$79&gt;=$F38,V$79&lt;=$G38),(($G38-$F38)/2-ABS(V$79-($F38+$G38)/2))+1,0)</f>
        <v>0</v>
      </c>
      <c r="AY38">
        <f t="shared" ref="AY38:AY69" si="70">IF(AND(W$79&gt;=$F38,W$79&lt;=$G38),(($G38-$F38)/2-ABS(W$79-($F38+$G38)/2))+1,0)</f>
        <v>0</v>
      </c>
      <c r="AZ38">
        <f t="shared" ref="AZ38:AZ69" si="71">IF(AND(X$79&gt;=$F38,X$79&lt;=$G38),(($G38-$F38)/2-ABS(X$79-($F38+$G38)/2))+1,0)</f>
        <v>0</v>
      </c>
      <c r="BA38">
        <f t="shared" ref="BA38:BA69" si="72">IF(AND(Y$79&gt;=$F38,Y$79&lt;=$G38),(($G38-$F38)/2-ABS(Y$79-($F38+$G38)/2))+1,0)</f>
        <v>1</v>
      </c>
      <c r="BB38">
        <f t="shared" ref="BB38:BB69" si="73">IF(AND(Z$79&gt;=$F38,Z$79&lt;=$G38),(($G38-$F38)/2-ABS(Z$79-($F38+$G38)/2))+1,0)</f>
        <v>2</v>
      </c>
      <c r="BC38">
        <f t="shared" ref="BC38:BC69" si="74">IF(AND(AA$79&gt;=$F38,AA$79&lt;=$G38),(($G38-$F38)/2-ABS(AA$79-($F38+$G38)/2))+1,0)</f>
        <v>3</v>
      </c>
      <c r="BD38">
        <f t="shared" ref="BD38:BD69" si="75">IF(AND(AB$79&gt;=$F38,AB$79&lt;=$G38),(($G38-$F38)/2-ABS(AB$79-($F38+$G38)/2))+1,0)</f>
        <v>4</v>
      </c>
      <c r="BE38">
        <f t="shared" ref="BE38:BE69" si="76">IF(AND(AC$79&gt;=$F38,AC$79&lt;=$G38),(($G38-$F38)/2-ABS(AC$79-($F38+$G38)/2))+1,0)</f>
        <v>3</v>
      </c>
      <c r="BF38">
        <f t="shared" ref="BF38:BF69" si="77">IF(AND(AD$79&gt;=$F38,AD$79&lt;=$G38),(($G38-$F38)/2-ABS(AD$79-($F38+$G38)/2))+1,0)</f>
        <v>2</v>
      </c>
      <c r="BG38">
        <f t="shared" ref="BG38:BG69" si="78">IF(AND(AE$79&gt;=$F38,AE$79&lt;=$G38),(($G38-$F38)/2-ABS(AE$79-($F38+$G38)/2))+1,0)</f>
        <v>1</v>
      </c>
      <c r="BH38">
        <f t="shared" ref="BH38:BH69" si="79">IF(AND(AF$79&gt;=$F38,AF$79&lt;=$G38),(($G38-$F38)/2-ABS(AF$79-($F38+$G38)/2))+1,0)</f>
        <v>0</v>
      </c>
      <c r="BI38">
        <f t="shared" ref="BI38:BI69" si="80">IF(AND(AG$79&gt;=$F38,AG$79&lt;=$G38),(($G38-$F38)/2-ABS(AG$79-($F38+$G38)/2))+1,0)</f>
        <v>0</v>
      </c>
      <c r="BJ38">
        <f t="shared" ref="BJ38:BJ69" si="81">IF(AND(AH$79&gt;=$F38,AH$79&lt;=$G38),(($G38-$F38)/2-ABS(AH$79-($F38+$G38)/2))+1,0)</f>
        <v>0</v>
      </c>
      <c r="BK38">
        <f t="shared" ref="BK38:BK69" si="82">IF(AND(AI$79&gt;=$F38,AI$79&lt;=$G38),(($G38-$F38)/2-ABS(AI$79-($F38+$G38)/2))+1,0)</f>
        <v>0</v>
      </c>
      <c r="BL38">
        <f t="shared" ref="BL38:BL69" si="83">IF(AND(AJ$79&gt;=$F38,AJ$79&lt;=$G38),(($G38-$F38)/2-ABS(AJ$79-($F38+$G38)/2))+1,0)</f>
        <v>0</v>
      </c>
      <c r="BM38">
        <f t="shared" ref="BM38:BM69" si="84">SUM(AM38:BL38)</f>
        <v>16</v>
      </c>
    </row>
    <row r="39" spans="1:65">
      <c r="A39" s="19" t="s">
        <v>149</v>
      </c>
      <c r="B39" s="19" t="s">
        <v>352</v>
      </c>
      <c r="C39" s="19" t="s">
        <v>18</v>
      </c>
      <c r="D39" s="25" t="s">
        <v>327</v>
      </c>
      <c r="E39" s="21">
        <v>23310</v>
      </c>
      <c r="F39" s="19">
        <v>12</v>
      </c>
      <c r="G39" s="19">
        <v>12</v>
      </c>
      <c r="H39" s="19">
        <f t="shared" si="55"/>
        <v>1</v>
      </c>
      <c r="I39" s="19" t="s">
        <v>39</v>
      </c>
      <c r="J39" s="32" t="s">
        <v>73</v>
      </c>
      <c r="K39" s="33">
        <f t="shared" ref="K39:T41" si="85">IF(AND(K$79&gt;=$F39,K$79&lt;=$G39),$E39/$H39,0)</f>
        <v>0</v>
      </c>
      <c r="L39" s="33">
        <f t="shared" si="85"/>
        <v>0</v>
      </c>
      <c r="M39" s="33">
        <f t="shared" si="85"/>
        <v>0</v>
      </c>
      <c r="N39" s="33">
        <f t="shared" si="85"/>
        <v>0</v>
      </c>
      <c r="O39" s="33">
        <f t="shared" si="85"/>
        <v>0</v>
      </c>
      <c r="P39" s="33">
        <f t="shared" si="85"/>
        <v>0</v>
      </c>
      <c r="Q39" s="33">
        <f t="shared" si="85"/>
        <v>0</v>
      </c>
      <c r="R39" s="33">
        <f t="shared" si="85"/>
        <v>0</v>
      </c>
      <c r="S39" s="33">
        <f t="shared" si="85"/>
        <v>0</v>
      </c>
      <c r="T39" s="33">
        <f t="shared" si="85"/>
        <v>0</v>
      </c>
      <c r="U39" s="33">
        <f t="shared" ref="U39:AD41" si="86">IF(AND(U$79&gt;=$F39,U$79&lt;=$G39),$E39/$H39,0)</f>
        <v>0</v>
      </c>
      <c r="V39" s="33">
        <f t="shared" si="86"/>
        <v>23310</v>
      </c>
      <c r="W39" s="33">
        <f t="shared" si="86"/>
        <v>0</v>
      </c>
      <c r="X39" s="33">
        <f t="shared" si="86"/>
        <v>0</v>
      </c>
      <c r="Y39" s="33">
        <f t="shared" si="86"/>
        <v>0</v>
      </c>
      <c r="Z39" s="33">
        <f t="shared" si="86"/>
        <v>0</v>
      </c>
      <c r="AA39" s="33">
        <f t="shared" si="86"/>
        <v>0</v>
      </c>
      <c r="AB39" s="33">
        <f t="shared" si="86"/>
        <v>0</v>
      </c>
      <c r="AC39" s="33">
        <f t="shared" si="86"/>
        <v>0</v>
      </c>
      <c r="AD39" s="33">
        <f t="shared" si="86"/>
        <v>0</v>
      </c>
      <c r="AE39" s="33">
        <f t="shared" ref="AE39:AJ41" si="87">IF(AND(AE$79&gt;=$F39,AE$79&lt;=$G39),$E39/$H39,0)</f>
        <v>0</v>
      </c>
      <c r="AF39" s="33">
        <f t="shared" si="87"/>
        <v>0</v>
      </c>
      <c r="AG39" s="33">
        <f t="shared" si="87"/>
        <v>0</v>
      </c>
      <c r="AH39" s="33">
        <f t="shared" si="87"/>
        <v>0</v>
      </c>
      <c r="AI39" s="33">
        <f t="shared" si="87"/>
        <v>0</v>
      </c>
      <c r="AJ39" s="33">
        <f t="shared" si="87"/>
        <v>0</v>
      </c>
      <c r="AK39" s="14">
        <f t="shared" si="57"/>
        <v>0</v>
      </c>
      <c r="AM39">
        <f t="shared" si="58"/>
        <v>0</v>
      </c>
      <c r="AN39">
        <f t="shared" si="59"/>
        <v>0</v>
      </c>
      <c r="AO39">
        <f t="shared" si="60"/>
        <v>0</v>
      </c>
      <c r="AP39">
        <f t="shared" si="61"/>
        <v>0</v>
      </c>
      <c r="AQ39">
        <f t="shared" si="62"/>
        <v>0</v>
      </c>
      <c r="AR39">
        <f t="shared" si="63"/>
        <v>0</v>
      </c>
      <c r="AS39">
        <f t="shared" si="64"/>
        <v>0</v>
      </c>
      <c r="AT39">
        <f t="shared" si="65"/>
        <v>0</v>
      </c>
      <c r="AU39">
        <f t="shared" si="66"/>
        <v>0</v>
      </c>
      <c r="AV39">
        <f t="shared" si="67"/>
        <v>0</v>
      </c>
      <c r="AW39">
        <f t="shared" si="68"/>
        <v>0</v>
      </c>
      <c r="AX39">
        <f t="shared" si="69"/>
        <v>1</v>
      </c>
      <c r="AY39">
        <f t="shared" si="70"/>
        <v>0</v>
      </c>
      <c r="AZ39">
        <f t="shared" si="71"/>
        <v>0</v>
      </c>
      <c r="BA39">
        <f t="shared" si="72"/>
        <v>0</v>
      </c>
      <c r="BB39">
        <f t="shared" si="73"/>
        <v>0</v>
      </c>
      <c r="BC39">
        <f t="shared" si="74"/>
        <v>0</v>
      </c>
      <c r="BD39">
        <f t="shared" si="75"/>
        <v>0</v>
      </c>
      <c r="BE39">
        <f t="shared" si="76"/>
        <v>0</v>
      </c>
      <c r="BF39">
        <f t="shared" si="77"/>
        <v>0</v>
      </c>
      <c r="BG39">
        <f t="shared" si="78"/>
        <v>0</v>
      </c>
      <c r="BH39">
        <f t="shared" si="79"/>
        <v>0</v>
      </c>
      <c r="BI39">
        <f t="shared" si="80"/>
        <v>0</v>
      </c>
      <c r="BJ39">
        <f t="shared" si="81"/>
        <v>0</v>
      </c>
      <c r="BK39">
        <f t="shared" si="82"/>
        <v>0</v>
      </c>
      <c r="BL39">
        <f t="shared" si="83"/>
        <v>0</v>
      </c>
      <c r="BM39">
        <f t="shared" si="84"/>
        <v>1</v>
      </c>
    </row>
    <row r="40" spans="1:65" ht="25">
      <c r="A40" s="19" t="s">
        <v>152</v>
      </c>
      <c r="B40" s="19" t="s">
        <v>353</v>
      </c>
      <c r="C40" s="19" t="s">
        <v>18</v>
      </c>
      <c r="D40" s="25" t="s">
        <v>327</v>
      </c>
      <c r="E40" s="21">
        <v>69930</v>
      </c>
      <c r="F40" s="19">
        <v>12</v>
      </c>
      <c r="G40" s="19">
        <v>12</v>
      </c>
      <c r="H40" s="19">
        <f t="shared" si="55"/>
        <v>1</v>
      </c>
      <c r="I40" s="19" t="s">
        <v>39</v>
      </c>
      <c r="J40" s="32" t="s">
        <v>154</v>
      </c>
      <c r="K40" s="33">
        <f t="shared" si="85"/>
        <v>0</v>
      </c>
      <c r="L40" s="33">
        <f t="shared" si="85"/>
        <v>0</v>
      </c>
      <c r="M40" s="33">
        <f t="shared" si="85"/>
        <v>0</v>
      </c>
      <c r="N40" s="33">
        <f t="shared" si="85"/>
        <v>0</v>
      </c>
      <c r="O40" s="33">
        <f t="shared" si="85"/>
        <v>0</v>
      </c>
      <c r="P40" s="33">
        <f t="shared" si="85"/>
        <v>0</v>
      </c>
      <c r="Q40" s="33">
        <f t="shared" si="85"/>
        <v>0</v>
      </c>
      <c r="R40" s="33">
        <f t="shared" si="85"/>
        <v>0</v>
      </c>
      <c r="S40" s="33">
        <f t="shared" si="85"/>
        <v>0</v>
      </c>
      <c r="T40" s="33">
        <f t="shared" si="85"/>
        <v>0</v>
      </c>
      <c r="U40" s="33">
        <f t="shared" si="86"/>
        <v>0</v>
      </c>
      <c r="V40" s="33">
        <f t="shared" si="86"/>
        <v>69930</v>
      </c>
      <c r="W40" s="33">
        <f t="shared" si="86"/>
        <v>0</v>
      </c>
      <c r="X40" s="33">
        <f t="shared" si="86"/>
        <v>0</v>
      </c>
      <c r="Y40" s="33">
        <f t="shared" si="86"/>
        <v>0</v>
      </c>
      <c r="Z40" s="33">
        <f t="shared" si="86"/>
        <v>0</v>
      </c>
      <c r="AA40" s="33">
        <f t="shared" si="86"/>
        <v>0</v>
      </c>
      <c r="AB40" s="33">
        <f t="shared" si="86"/>
        <v>0</v>
      </c>
      <c r="AC40" s="33">
        <f t="shared" si="86"/>
        <v>0</v>
      </c>
      <c r="AD40" s="33">
        <f t="shared" si="86"/>
        <v>0</v>
      </c>
      <c r="AE40" s="33">
        <f t="shared" si="87"/>
        <v>0</v>
      </c>
      <c r="AF40" s="33">
        <f t="shared" si="87"/>
        <v>0</v>
      </c>
      <c r="AG40" s="33">
        <f t="shared" si="87"/>
        <v>0</v>
      </c>
      <c r="AH40" s="33">
        <f t="shared" si="87"/>
        <v>0</v>
      </c>
      <c r="AI40" s="33">
        <f t="shared" si="87"/>
        <v>0</v>
      </c>
      <c r="AJ40" s="33">
        <f t="shared" si="87"/>
        <v>0</v>
      </c>
      <c r="AK40" s="14">
        <f t="shared" si="57"/>
        <v>0</v>
      </c>
      <c r="AM40">
        <f t="shared" si="58"/>
        <v>0</v>
      </c>
      <c r="AN40">
        <f t="shared" si="59"/>
        <v>0</v>
      </c>
      <c r="AO40">
        <f t="shared" si="60"/>
        <v>0</v>
      </c>
      <c r="AP40">
        <f t="shared" si="61"/>
        <v>0</v>
      </c>
      <c r="AQ40">
        <f t="shared" si="62"/>
        <v>0</v>
      </c>
      <c r="AR40">
        <f t="shared" si="63"/>
        <v>0</v>
      </c>
      <c r="AS40">
        <f t="shared" si="64"/>
        <v>0</v>
      </c>
      <c r="AT40">
        <f t="shared" si="65"/>
        <v>0</v>
      </c>
      <c r="AU40">
        <f t="shared" si="66"/>
        <v>0</v>
      </c>
      <c r="AV40">
        <f t="shared" si="67"/>
        <v>0</v>
      </c>
      <c r="AW40">
        <f t="shared" si="68"/>
        <v>0</v>
      </c>
      <c r="AX40">
        <f t="shared" si="69"/>
        <v>1</v>
      </c>
      <c r="AY40">
        <f t="shared" si="70"/>
        <v>0</v>
      </c>
      <c r="AZ40">
        <f t="shared" si="71"/>
        <v>0</v>
      </c>
      <c r="BA40">
        <f t="shared" si="72"/>
        <v>0</v>
      </c>
      <c r="BB40">
        <f t="shared" si="73"/>
        <v>0</v>
      </c>
      <c r="BC40">
        <f t="shared" si="74"/>
        <v>0</v>
      </c>
      <c r="BD40">
        <f t="shared" si="75"/>
        <v>0</v>
      </c>
      <c r="BE40">
        <f t="shared" si="76"/>
        <v>0</v>
      </c>
      <c r="BF40">
        <f t="shared" si="77"/>
        <v>0</v>
      </c>
      <c r="BG40">
        <f t="shared" si="78"/>
        <v>0</v>
      </c>
      <c r="BH40">
        <f t="shared" si="79"/>
        <v>0</v>
      </c>
      <c r="BI40">
        <f t="shared" si="80"/>
        <v>0</v>
      </c>
      <c r="BJ40">
        <f t="shared" si="81"/>
        <v>0</v>
      </c>
      <c r="BK40">
        <f t="shared" si="82"/>
        <v>0</v>
      </c>
      <c r="BL40">
        <f t="shared" si="83"/>
        <v>0</v>
      </c>
      <c r="BM40">
        <f t="shared" si="84"/>
        <v>1</v>
      </c>
    </row>
    <row r="41" spans="1:65" ht="25">
      <c r="A41" s="19" t="s">
        <v>155</v>
      </c>
      <c r="B41" s="19" t="s">
        <v>354</v>
      </c>
      <c r="C41" s="19" t="s">
        <v>18</v>
      </c>
      <c r="D41" s="25" t="s">
        <v>327</v>
      </c>
      <c r="E41" s="21">
        <v>372960</v>
      </c>
      <c r="F41" s="19">
        <v>12</v>
      </c>
      <c r="G41" s="19">
        <v>12</v>
      </c>
      <c r="H41" s="19">
        <f t="shared" si="55"/>
        <v>1</v>
      </c>
      <c r="I41" s="19" t="s">
        <v>39</v>
      </c>
      <c r="J41" s="32" t="s">
        <v>157</v>
      </c>
      <c r="K41" s="33">
        <f t="shared" si="85"/>
        <v>0</v>
      </c>
      <c r="L41" s="33">
        <f t="shared" si="85"/>
        <v>0</v>
      </c>
      <c r="M41" s="33">
        <f t="shared" si="85"/>
        <v>0</v>
      </c>
      <c r="N41" s="33">
        <f t="shared" si="85"/>
        <v>0</v>
      </c>
      <c r="O41" s="33">
        <f t="shared" si="85"/>
        <v>0</v>
      </c>
      <c r="P41" s="33">
        <f t="shared" si="85"/>
        <v>0</v>
      </c>
      <c r="Q41" s="33">
        <f t="shared" si="85"/>
        <v>0</v>
      </c>
      <c r="R41" s="33">
        <f t="shared" si="85"/>
        <v>0</v>
      </c>
      <c r="S41" s="33">
        <f t="shared" si="85"/>
        <v>0</v>
      </c>
      <c r="T41" s="33">
        <f t="shared" si="85"/>
        <v>0</v>
      </c>
      <c r="U41" s="33">
        <f t="shared" si="86"/>
        <v>0</v>
      </c>
      <c r="V41" s="33">
        <f t="shared" si="86"/>
        <v>372960</v>
      </c>
      <c r="W41" s="33">
        <f t="shared" si="86"/>
        <v>0</v>
      </c>
      <c r="X41" s="33">
        <f t="shared" si="86"/>
        <v>0</v>
      </c>
      <c r="Y41" s="33">
        <f t="shared" si="86"/>
        <v>0</v>
      </c>
      <c r="Z41" s="33">
        <f t="shared" si="86"/>
        <v>0</v>
      </c>
      <c r="AA41" s="33">
        <f t="shared" si="86"/>
        <v>0</v>
      </c>
      <c r="AB41" s="33">
        <f t="shared" si="86"/>
        <v>0</v>
      </c>
      <c r="AC41" s="33">
        <f t="shared" si="86"/>
        <v>0</v>
      </c>
      <c r="AD41" s="33">
        <f t="shared" si="86"/>
        <v>0</v>
      </c>
      <c r="AE41" s="33">
        <f t="shared" si="87"/>
        <v>0</v>
      </c>
      <c r="AF41" s="33">
        <f t="shared" si="87"/>
        <v>0</v>
      </c>
      <c r="AG41" s="33">
        <f t="shared" si="87"/>
        <v>0</v>
      </c>
      <c r="AH41" s="33">
        <f t="shared" si="87"/>
        <v>0</v>
      </c>
      <c r="AI41" s="33">
        <f t="shared" si="87"/>
        <v>0</v>
      </c>
      <c r="AJ41" s="33">
        <f t="shared" si="87"/>
        <v>0</v>
      </c>
      <c r="AK41" s="14">
        <f t="shared" si="57"/>
        <v>0</v>
      </c>
      <c r="AM41">
        <f t="shared" si="58"/>
        <v>0</v>
      </c>
      <c r="AN41">
        <f t="shared" si="59"/>
        <v>0</v>
      </c>
      <c r="AO41">
        <f t="shared" si="60"/>
        <v>0</v>
      </c>
      <c r="AP41">
        <f t="shared" si="61"/>
        <v>0</v>
      </c>
      <c r="AQ41">
        <f t="shared" si="62"/>
        <v>0</v>
      </c>
      <c r="AR41">
        <f t="shared" si="63"/>
        <v>0</v>
      </c>
      <c r="AS41">
        <f t="shared" si="64"/>
        <v>0</v>
      </c>
      <c r="AT41">
        <f t="shared" si="65"/>
        <v>0</v>
      </c>
      <c r="AU41">
        <f t="shared" si="66"/>
        <v>0</v>
      </c>
      <c r="AV41">
        <f t="shared" si="67"/>
        <v>0</v>
      </c>
      <c r="AW41">
        <f t="shared" si="68"/>
        <v>0</v>
      </c>
      <c r="AX41">
        <f t="shared" si="69"/>
        <v>1</v>
      </c>
      <c r="AY41">
        <f t="shared" si="70"/>
        <v>0</v>
      </c>
      <c r="AZ41">
        <f t="shared" si="71"/>
        <v>0</v>
      </c>
      <c r="BA41">
        <f t="shared" si="72"/>
        <v>0</v>
      </c>
      <c r="BB41">
        <f t="shared" si="73"/>
        <v>0</v>
      </c>
      <c r="BC41">
        <f t="shared" si="74"/>
        <v>0</v>
      </c>
      <c r="BD41">
        <f t="shared" si="75"/>
        <v>0</v>
      </c>
      <c r="BE41">
        <f t="shared" si="76"/>
        <v>0</v>
      </c>
      <c r="BF41">
        <f t="shared" si="77"/>
        <v>0</v>
      </c>
      <c r="BG41">
        <f t="shared" si="78"/>
        <v>0</v>
      </c>
      <c r="BH41">
        <f t="shared" si="79"/>
        <v>0</v>
      </c>
      <c r="BI41">
        <f t="shared" si="80"/>
        <v>0</v>
      </c>
      <c r="BJ41">
        <f t="shared" si="81"/>
        <v>0</v>
      </c>
      <c r="BK41">
        <f t="shared" si="82"/>
        <v>0</v>
      </c>
      <c r="BL41">
        <f t="shared" si="83"/>
        <v>0</v>
      </c>
      <c r="BM41">
        <f t="shared" si="84"/>
        <v>1</v>
      </c>
    </row>
    <row r="42" spans="1:65" ht="37.5">
      <c r="A42" s="19" t="s">
        <v>158</v>
      </c>
      <c r="B42" s="19" t="s">
        <v>355</v>
      </c>
      <c r="C42" s="19" t="s">
        <v>18</v>
      </c>
      <c r="D42" s="26" t="s">
        <v>331</v>
      </c>
      <c r="E42" s="21">
        <v>1864800</v>
      </c>
      <c r="F42" s="19">
        <v>13</v>
      </c>
      <c r="G42" s="19">
        <v>18</v>
      </c>
      <c r="H42" s="19">
        <f t="shared" si="55"/>
        <v>6</v>
      </c>
      <c r="I42" s="19" t="s">
        <v>39</v>
      </c>
      <c r="J42" s="32" t="s">
        <v>160</v>
      </c>
      <c r="K42" s="33">
        <f t="shared" ref="K42:AJ42" si="88">IF(AND(K$79&gt;=$F42,K$79&lt;=$G42),AM42/$BM$42*$E42,0)</f>
        <v>0</v>
      </c>
      <c r="L42" s="33">
        <f t="shared" si="88"/>
        <v>0</v>
      </c>
      <c r="M42" s="33">
        <f t="shared" si="88"/>
        <v>0</v>
      </c>
      <c r="N42" s="33">
        <f t="shared" si="88"/>
        <v>0</v>
      </c>
      <c r="O42" s="33">
        <f t="shared" si="88"/>
        <v>0</v>
      </c>
      <c r="P42" s="33">
        <f t="shared" si="88"/>
        <v>0</v>
      </c>
      <c r="Q42" s="33">
        <f t="shared" si="88"/>
        <v>0</v>
      </c>
      <c r="R42" s="33">
        <f t="shared" si="88"/>
        <v>0</v>
      </c>
      <c r="S42" s="33">
        <f t="shared" si="88"/>
        <v>0</v>
      </c>
      <c r="T42" s="33">
        <f t="shared" si="88"/>
        <v>0</v>
      </c>
      <c r="U42" s="33">
        <f t="shared" si="88"/>
        <v>0</v>
      </c>
      <c r="V42" s="33">
        <f t="shared" si="88"/>
        <v>0</v>
      </c>
      <c r="W42" s="33">
        <f t="shared" si="88"/>
        <v>155400</v>
      </c>
      <c r="X42" s="33">
        <f t="shared" si="88"/>
        <v>310800</v>
      </c>
      <c r="Y42" s="33">
        <f t="shared" si="88"/>
        <v>466200</v>
      </c>
      <c r="Z42" s="33">
        <f t="shared" si="88"/>
        <v>466200</v>
      </c>
      <c r="AA42" s="33">
        <f t="shared" si="88"/>
        <v>310800</v>
      </c>
      <c r="AB42" s="33">
        <f t="shared" si="88"/>
        <v>155400</v>
      </c>
      <c r="AC42" s="33">
        <f t="shared" si="88"/>
        <v>0</v>
      </c>
      <c r="AD42" s="33">
        <f t="shared" si="88"/>
        <v>0</v>
      </c>
      <c r="AE42" s="33">
        <f t="shared" si="88"/>
        <v>0</v>
      </c>
      <c r="AF42" s="33">
        <f t="shared" si="88"/>
        <v>0</v>
      </c>
      <c r="AG42" s="33">
        <f t="shared" si="88"/>
        <v>0</v>
      </c>
      <c r="AH42" s="33">
        <f t="shared" si="88"/>
        <v>0</v>
      </c>
      <c r="AI42" s="33">
        <f t="shared" si="88"/>
        <v>0</v>
      </c>
      <c r="AJ42" s="33">
        <f t="shared" si="88"/>
        <v>0</v>
      </c>
      <c r="AK42" s="14">
        <f t="shared" si="57"/>
        <v>0</v>
      </c>
      <c r="AM42">
        <f t="shared" si="58"/>
        <v>0</v>
      </c>
      <c r="AN42">
        <f t="shared" si="59"/>
        <v>0</v>
      </c>
      <c r="AO42">
        <f t="shared" si="60"/>
        <v>0</v>
      </c>
      <c r="AP42">
        <f t="shared" si="61"/>
        <v>0</v>
      </c>
      <c r="AQ42">
        <f t="shared" si="62"/>
        <v>0</v>
      </c>
      <c r="AR42">
        <f t="shared" si="63"/>
        <v>0</v>
      </c>
      <c r="AS42">
        <f t="shared" si="64"/>
        <v>0</v>
      </c>
      <c r="AT42">
        <f t="shared" si="65"/>
        <v>0</v>
      </c>
      <c r="AU42">
        <f t="shared" si="66"/>
        <v>0</v>
      </c>
      <c r="AV42">
        <f t="shared" si="67"/>
        <v>0</v>
      </c>
      <c r="AW42">
        <f t="shared" si="68"/>
        <v>0</v>
      </c>
      <c r="AX42">
        <f t="shared" si="69"/>
        <v>0</v>
      </c>
      <c r="AY42">
        <f t="shared" si="70"/>
        <v>1</v>
      </c>
      <c r="AZ42">
        <f t="shared" si="71"/>
        <v>2</v>
      </c>
      <c r="BA42">
        <f t="shared" si="72"/>
        <v>3</v>
      </c>
      <c r="BB42">
        <f t="shared" si="73"/>
        <v>3</v>
      </c>
      <c r="BC42">
        <f t="shared" si="74"/>
        <v>2</v>
      </c>
      <c r="BD42">
        <f t="shared" si="75"/>
        <v>1</v>
      </c>
      <c r="BE42">
        <f t="shared" si="76"/>
        <v>0</v>
      </c>
      <c r="BF42">
        <f t="shared" si="77"/>
        <v>0</v>
      </c>
      <c r="BG42">
        <f t="shared" si="78"/>
        <v>0</v>
      </c>
      <c r="BH42">
        <f t="shared" si="79"/>
        <v>0</v>
      </c>
      <c r="BI42">
        <f t="shared" si="80"/>
        <v>0</v>
      </c>
      <c r="BJ42">
        <f t="shared" si="81"/>
        <v>0</v>
      </c>
      <c r="BK42">
        <f t="shared" si="82"/>
        <v>0</v>
      </c>
      <c r="BL42">
        <f t="shared" si="83"/>
        <v>0</v>
      </c>
      <c r="BM42">
        <f t="shared" si="84"/>
        <v>12</v>
      </c>
    </row>
    <row r="43" spans="1:65">
      <c r="A43" s="19" t="s">
        <v>163</v>
      </c>
      <c r="B43" s="19" t="s">
        <v>356</v>
      </c>
      <c r="C43" s="19" t="s">
        <v>18</v>
      </c>
      <c r="D43" s="25" t="s">
        <v>327</v>
      </c>
      <c r="E43" s="21">
        <v>108800</v>
      </c>
      <c r="F43" s="19">
        <v>11</v>
      </c>
      <c r="G43" s="19">
        <v>11</v>
      </c>
      <c r="H43" s="19">
        <f t="shared" si="55"/>
        <v>1</v>
      </c>
      <c r="I43" s="19" t="s">
        <v>39</v>
      </c>
      <c r="J43" s="32" t="s">
        <v>73</v>
      </c>
      <c r="K43" s="33">
        <f t="shared" ref="K43:T45" si="89">IF(AND(K$79&gt;=$F43,K$79&lt;=$G43),$E43/$H43,0)</f>
        <v>0</v>
      </c>
      <c r="L43" s="33">
        <f t="shared" si="89"/>
        <v>0</v>
      </c>
      <c r="M43" s="33">
        <f t="shared" si="89"/>
        <v>0</v>
      </c>
      <c r="N43" s="33">
        <f t="shared" si="89"/>
        <v>0</v>
      </c>
      <c r="O43" s="33">
        <f t="shared" si="89"/>
        <v>0</v>
      </c>
      <c r="P43" s="33">
        <f t="shared" si="89"/>
        <v>0</v>
      </c>
      <c r="Q43" s="33">
        <f t="shared" si="89"/>
        <v>0</v>
      </c>
      <c r="R43" s="33">
        <f t="shared" si="89"/>
        <v>0</v>
      </c>
      <c r="S43" s="33">
        <f t="shared" si="89"/>
        <v>0</v>
      </c>
      <c r="T43" s="33">
        <f t="shared" si="89"/>
        <v>0</v>
      </c>
      <c r="U43" s="33">
        <f t="shared" ref="U43:AD45" si="90">IF(AND(U$79&gt;=$F43,U$79&lt;=$G43),$E43/$H43,0)</f>
        <v>108800</v>
      </c>
      <c r="V43" s="33">
        <f t="shared" si="90"/>
        <v>0</v>
      </c>
      <c r="W43" s="33">
        <f t="shared" si="90"/>
        <v>0</v>
      </c>
      <c r="X43" s="33">
        <f t="shared" si="90"/>
        <v>0</v>
      </c>
      <c r="Y43" s="33">
        <f t="shared" si="90"/>
        <v>0</v>
      </c>
      <c r="Z43" s="33">
        <f t="shared" si="90"/>
        <v>0</v>
      </c>
      <c r="AA43" s="33">
        <f t="shared" si="90"/>
        <v>0</v>
      </c>
      <c r="AB43" s="33">
        <f t="shared" si="90"/>
        <v>0</v>
      </c>
      <c r="AC43" s="33">
        <f t="shared" si="90"/>
        <v>0</v>
      </c>
      <c r="AD43" s="33">
        <f t="shared" si="90"/>
        <v>0</v>
      </c>
      <c r="AE43" s="33">
        <f t="shared" ref="AE43:AJ45" si="91">IF(AND(AE$79&gt;=$F43,AE$79&lt;=$G43),$E43/$H43,0)</f>
        <v>0</v>
      </c>
      <c r="AF43" s="33">
        <f t="shared" si="91"/>
        <v>0</v>
      </c>
      <c r="AG43" s="33">
        <f t="shared" si="91"/>
        <v>0</v>
      </c>
      <c r="AH43" s="33">
        <f t="shared" si="91"/>
        <v>0</v>
      </c>
      <c r="AI43" s="33">
        <f t="shared" si="91"/>
        <v>0</v>
      </c>
      <c r="AJ43" s="33">
        <f t="shared" si="91"/>
        <v>0</v>
      </c>
      <c r="AK43" s="14">
        <f t="shared" si="57"/>
        <v>0</v>
      </c>
      <c r="AM43">
        <f t="shared" si="58"/>
        <v>0</v>
      </c>
      <c r="AN43">
        <f t="shared" si="59"/>
        <v>0</v>
      </c>
      <c r="AO43">
        <f t="shared" si="60"/>
        <v>0</v>
      </c>
      <c r="AP43">
        <f t="shared" si="61"/>
        <v>0</v>
      </c>
      <c r="AQ43">
        <f t="shared" si="62"/>
        <v>0</v>
      </c>
      <c r="AR43">
        <f t="shared" si="63"/>
        <v>0</v>
      </c>
      <c r="AS43">
        <f t="shared" si="64"/>
        <v>0</v>
      </c>
      <c r="AT43">
        <f t="shared" si="65"/>
        <v>0</v>
      </c>
      <c r="AU43">
        <f t="shared" si="66"/>
        <v>0</v>
      </c>
      <c r="AV43">
        <f t="shared" si="67"/>
        <v>0</v>
      </c>
      <c r="AW43">
        <f t="shared" si="68"/>
        <v>1</v>
      </c>
      <c r="AX43">
        <f t="shared" si="69"/>
        <v>0</v>
      </c>
      <c r="AY43">
        <f t="shared" si="70"/>
        <v>0</v>
      </c>
      <c r="AZ43">
        <f t="shared" si="71"/>
        <v>0</v>
      </c>
      <c r="BA43">
        <f t="shared" si="72"/>
        <v>0</v>
      </c>
      <c r="BB43">
        <f t="shared" si="73"/>
        <v>0</v>
      </c>
      <c r="BC43">
        <f t="shared" si="74"/>
        <v>0</v>
      </c>
      <c r="BD43">
        <f t="shared" si="75"/>
        <v>0</v>
      </c>
      <c r="BE43">
        <f t="shared" si="76"/>
        <v>0</v>
      </c>
      <c r="BF43">
        <f t="shared" si="77"/>
        <v>0</v>
      </c>
      <c r="BG43">
        <f t="shared" si="78"/>
        <v>0</v>
      </c>
      <c r="BH43">
        <f t="shared" si="79"/>
        <v>0</v>
      </c>
      <c r="BI43">
        <f t="shared" si="80"/>
        <v>0</v>
      </c>
      <c r="BJ43">
        <f t="shared" si="81"/>
        <v>0</v>
      </c>
      <c r="BK43">
        <f t="shared" si="82"/>
        <v>0</v>
      </c>
      <c r="BL43">
        <f t="shared" si="83"/>
        <v>0</v>
      </c>
      <c r="BM43">
        <f t="shared" si="84"/>
        <v>1</v>
      </c>
    </row>
    <row r="44" spans="1:65" ht="25">
      <c r="A44" s="19" t="s">
        <v>166</v>
      </c>
      <c r="B44" s="19" t="s">
        <v>357</v>
      </c>
      <c r="C44" s="19" t="s">
        <v>18</v>
      </c>
      <c r="D44" s="25" t="s">
        <v>327</v>
      </c>
      <c r="E44" s="21">
        <v>326400</v>
      </c>
      <c r="F44" s="19">
        <v>11</v>
      </c>
      <c r="G44" s="19">
        <v>11</v>
      </c>
      <c r="H44" s="19">
        <f t="shared" si="55"/>
        <v>1</v>
      </c>
      <c r="I44" s="19" t="s">
        <v>39</v>
      </c>
      <c r="J44" s="32" t="s">
        <v>168</v>
      </c>
      <c r="K44" s="33">
        <f t="shared" si="89"/>
        <v>0</v>
      </c>
      <c r="L44" s="33">
        <f t="shared" si="89"/>
        <v>0</v>
      </c>
      <c r="M44" s="33">
        <f t="shared" si="89"/>
        <v>0</v>
      </c>
      <c r="N44" s="33">
        <f t="shared" si="89"/>
        <v>0</v>
      </c>
      <c r="O44" s="33">
        <f t="shared" si="89"/>
        <v>0</v>
      </c>
      <c r="P44" s="33">
        <f t="shared" si="89"/>
        <v>0</v>
      </c>
      <c r="Q44" s="33">
        <f t="shared" si="89"/>
        <v>0</v>
      </c>
      <c r="R44" s="33">
        <f t="shared" si="89"/>
        <v>0</v>
      </c>
      <c r="S44" s="33">
        <f t="shared" si="89"/>
        <v>0</v>
      </c>
      <c r="T44" s="33">
        <f t="shared" si="89"/>
        <v>0</v>
      </c>
      <c r="U44" s="33">
        <f t="shared" si="90"/>
        <v>326400</v>
      </c>
      <c r="V44" s="33">
        <f t="shared" si="90"/>
        <v>0</v>
      </c>
      <c r="W44" s="33">
        <f t="shared" si="90"/>
        <v>0</v>
      </c>
      <c r="X44" s="33">
        <f t="shared" si="90"/>
        <v>0</v>
      </c>
      <c r="Y44" s="33">
        <f t="shared" si="90"/>
        <v>0</v>
      </c>
      <c r="Z44" s="33">
        <f t="shared" si="90"/>
        <v>0</v>
      </c>
      <c r="AA44" s="33">
        <f t="shared" si="90"/>
        <v>0</v>
      </c>
      <c r="AB44" s="33">
        <f t="shared" si="90"/>
        <v>0</v>
      </c>
      <c r="AC44" s="33">
        <f t="shared" si="90"/>
        <v>0</v>
      </c>
      <c r="AD44" s="33">
        <f t="shared" si="90"/>
        <v>0</v>
      </c>
      <c r="AE44" s="33">
        <f t="shared" si="91"/>
        <v>0</v>
      </c>
      <c r="AF44" s="33">
        <f t="shared" si="91"/>
        <v>0</v>
      </c>
      <c r="AG44" s="33">
        <f t="shared" si="91"/>
        <v>0</v>
      </c>
      <c r="AH44" s="33">
        <f t="shared" si="91"/>
        <v>0</v>
      </c>
      <c r="AI44" s="33">
        <f t="shared" si="91"/>
        <v>0</v>
      </c>
      <c r="AJ44" s="33">
        <f t="shared" si="91"/>
        <v>0</v>
      </c>
      <c r="AK44" s="14">
        <f t="shared" si="57"/>
        <v>0</v>
      </c>
      <c r="AM44">
        <f t="shared" si="58"/>
        <v>0</v>
      </c>
      <c r="AN44">
        <f t="shared" si="59"/>
        <v>0</v>
      </c>
      <c r="AO44">
        <f t="shared" si="60"/>
        <v>0</v>
      </c>
      <c r="AP44">
        <f t="shared" si="61"/>
        <v>0</v>
      </c>
      <c r="AQ44">
        <f t="shared" si="62"/>
        <v>0</v>
      </c>
      <c r="AR44">
        <f t="shared" si="63"/>
        <v>0</v>
      </c>
      <c r="AS44">
        <f t="shared" si="64"/>
        <v>0</v>
      </c>
      <c r="AT44">
        <f t="shared" si="65"/>
        <v>0</v>
      </c>
      <c r="AU44">
        <f t="shared" si="66"/>
        <v>0</v>
      </c>
      <c r="AV44">
        <f t="shared" si="67"/>
        <v>0</v>
      </c>
      <c r="AW44">
        <f t="shared" si="68"/>
        <v>1</v>
      </c>
      <c r="AX44">
        <f t="shared" si="69"/>
        <v>0</v>
      </c>
      <c r="AY44">
        <f t="shared" si="70"/>
        <v>0</v>
      </c>
      <c r="AZ44">
        <f t="shared" si="71"/>
        <v>0</v>
      </c>
      <c r="BA44">
        <f t="shared" si="72"/>
        <v>0</v>
      </c>
      <c r="BB44">
        <f t="shared" si="73"/>
        <v>0</v>
      </c>
      <c r="BC44">
        <f t="shared" si="74"/>
        <v>0</v>
      </c>
      <c r="BD44">
        <f t="shared" si="75"/>
        <v>0</v>
      </c>
      <c r="BE44">
        <f t="shared" si="76"/>
        <v>0</v>
      </c>
      <c r="BF44">
        <f t="shared" si="77"/>
        <v>0</v>
      </c>
      <c r="BG44">
        <f t="shared" si="78"/>
        <v>0</v>
      </c>
      <c r="BH44">
        <f t="shared" si="79"/>
        <v>0</v>
      </c>
      <c r="BI44">
        <f t="shared" si="80"/>
        <v>0</v>
      </c>
      <c r="BJ44">
        <f t="shared" si="81"/>
        <v>0</v>
      </c>
      <c r="BK44">
        <f t="shared" si="82"/>
        <v>0</v>
      </c>
      <c r="BL44">
        <f t="shared" si="83"/>
        <v>0</v>
      </c>
      <c r="BM44">
        <f t="shared" si="84"/>
        <v>1</v>
      </c>
    </row>
    <row r="45" spans="1:65" ht="25">
      <c r="A45" s="19" t="s">
        <v>169</v>
      </c>
      <c r="B45" s="19" t="s">
        <v>358</v>
      </c>
      <c r="C45" s="19" t="s">
        <v>18</v>
      </c>
      <c r="D45" s="25" t="s">
        <v>327</v>
      </c>
      <c r="E45" s="21">
        <v>1740800</v>
      </c>
      <c r="F45" s="19">
        <v>12</v>
      </c>
      <c r="G45" s="19">
        <v>12</v>
      </c>
      <c r="H45" s="19">
        <f t="shared" si="55"/>
        <v>1</v>
      </c>
      <c r="I45" s="19" t="s">
        <v>39</v>
      </c>
      <c r="J45" s="32" t="s">
        <v>171</v>
      </c>
      <c r="K45" s="33">
        <f t="shared" si="89"/>
        <v>0</v>
      </c>
      <c r="L45" s="33">
        <f t="shared" si="89"/>
        <v>0</v>
      </c>
      <c r="M45" s="33">
        <f t="shared" si="89"/>
        <v>0</v>
      </c>
      <c r="N45" s="33">
        <f t="shared" si="89"/>
        <v>0</v>
      </c>
      <c r="O45" s="33">
        <f t="shared" si="89"/>
        <v>0</v>
      </c>
      <c r="P45" s="33">
        <f t="shared" si="89"/>
        <v>0</v>
      </c>
      <c r="Q45" s="33">
        <f t="shared" si="89"/>
        <v>0</v>
      </c>
      <c r="R45" s="33">
        <f t="shared" si="89"/>
        <v>0</v>
      </c>
      <c r="S45" s="33">
        <f t="shared" si="89"/>
        <v>0</v>
      </c>
      <c r="T45" s="33">
        <f t="shared" si="89"/>
        <v>0</v>
      </c>
      <c r="U45" s="33">
        <f t="shared" si="90"/>
        <v>0</v>
      </c>
      <c r="V45" s="33">
        <f t="shared" si="90"/>
        <v>1740800</v>
      </c>
      <c r="W45" s="33">
        <f t="shared" si="90"/>
        <v>0</v>
      </c>
      <c r="X45" s="33">
        <f t="shared" si="90"/>
        <v>0</v>
      </c>
      <c r="Y45" s="33">
        <f t="shared" si="90"/>
        <v>0</v>
      </c>
      <c r="Z45" s="33">
        <f t="shared" si="90"/>
        <v>0</v>
      </c>
      <c r="AA45" s="33">
        <f t="shared" si="90"/>
        <v>0</v>
      </c>
      <c r="AB45" s="33">
        <f t="shared" si="90"/>
        <v>0</v>
      </c>
      <c r="AC45" s="33">
        <f t="shared" si="90"/>
        <v>0</v>
      </c>
      <c r="AD45" s="33">
        <f t="shared" si="90"/>
        <v>0</v>
      </c>
      <c r="AE45" s="33">
        <f t="shared" si="91"/>
        <v>0</v>
      </c>
      <c r="AF45" s="33">
        <f t="shared" si="91"/>
        <v>0</v>
      </c>
      <c r="AG45" s="33">
        <f t="shared" si="91"/>
        <v>0</v>
      </c>
      <c r="AH45" s="33">
        <f t="shared" si="91"/>
        <v>0</v>
      </c>
      <c r="AI45" s="33">
        <f t="shared" si="91"/>
        <v>0</v>
      </c>
      <c r="AJ45" s="33">
        <f t="shared" si="91"/>
        <v>0</v>
      </c>
      <c r="AK45" s="14">
        <f t="shared" si="57"/>
        <v>0</v>
      </c>
      <c r="AM45">
        <f t="shared" si="58"/>
        <v>0</v>
      </c>
      <c r="AN45">
        <f t="shared" si="59"/>
        <v>0</v>
      </c>
      <c r="AO45">
        <f t="shared" si="60"/>
        <v>0</v>
      </c>
      <c r="AP45">
        <f t="shared" si="61"/>
        <v>0</v>
      </c>
      <c r="AQ45">
        <f t="shared" si="62"/>
        <v>0</v>
      </c>
      <c r="AR45">
        <f t="shared" si="63"/>
        <v>0</v>
      </c>
      <c r="AS45">
        <f t="shared" si="64"/>
        <v>0</v>
      </c>
      <c r="AT45">
        <f t="shared" si="65"/>
        <v>0</v>
      </c>
      <c r="AU45">
        <f t="shared" si="66"/>
        <v>0</v>
      </c>
      <c r="AV45">
        <f t="shared" si="67"/>
        <v>0</v>
      </c>
      <c r="AW45">
        <f t="shared" si="68"/>
        <v>0</v>
      </c>
      <c r="AX45">
        <f t="shared" si="69"/>
        <v>1</v>
      </c>
      <c r="AY45">
        <f t="shared" si="70"/>
        <v>0</v>
      </c>
      <c r="AZ45">
        <f t="shared" si="71"/>
        <v>0</v>
      </c>
      <c r="BA45">
        <f t="shared" si="72"/>
        <v>0</v>
      </c>
      <c r="BB45">
        <f t="shared" si="73"/>
        <v>0</v>
      </c>
      <c r="BC45">
        <f t="shared" si="74"/>
        <v>0</v>
      </c>
      <c r="BD45">
        <f t="shared" si="75"/>
        <v>0</v>
      </c>
      <c r="BE45">
        <f t="shared" si="76"/>
        <v>0</v>
      </c>
      <c r="BF45">
        <f t="shared" si="77"/>
        <v>0</v>
      </c>
      <c r="BG45">
        <f t="shared" si="78"/>
        <v>0</v>
      </c>
      <c r="BH45">
        <f t="shared" si="79"/>
        <v>0</v>
      </c>
      <c r="BI45">
        <f t="shared" si="80"/>
        <v>0</v>
      </c>
      <c r="BJ45">
        <f t="shared" si="81"/>
        <v>0</v>
      </c>
      <c r="BK45">
        <f t="shared" si="82"/>
        <v>0</v>
      </c>
      <c r="BL45">
        <f t="shared" si="83"/>
        <v>0</v>
      </c>
      <c r="BM45">
        <f t="shared" si="84"/>
        <v>1</v>
      </c>
    </row>
    <row r="46" spans="1:65" ht="50">
      <c r="A46" s="19" t="s">
        <v>172</v>
      </c>
      <c r="B46" s="19" t="s">
        <v>359</v>
      </c>
      <c r="C46" s="19" t="s">
        <v>18</v>
      </c>
      <c r="D46" s="26" t="s">
        <v>331</v>
      </c>
      <c r="E46" s="21">
        <v>8704000</v>
      </c>
      <c r="F46" s="19">
        <v>13</v>
      </c>
      <c r="G46" s="19">
        <v>22</v>
      </c>
      <c r="H46" s="19">
        <f t="shared" si="55"/>
        <v>10</v>
      </c>
      <c r="I46" s="19" t="s">
        <v>39</v>
      </c>
      <c r="J46" s="32" t="s">
        <v>174</v>
      </c>
      <c r="K46" s="33">
        <f t="shared" ref="K46:AJ46" si="92">IF(AND(K$79&gt;=$F46,K$79&lt;=$G46),AM46/$BM$46*$E46,0)</f>
        <v>0</v>
      </c>
      <c r="L46" s="33">
        <f t="shared" si="92"/>
        <v>0</v>
      </c>
      <c r="M46" s="33">
        <f t="shared" si="92"/>
        <v>0</v>
      </c>
      <c r="N46" s="33">
        <f t="shared" si="92"/>
        <v>0</v>
      </c>
      <c r="O46" s="33">
        <f t="shared" si="92"/>
        <v>0</v>
      </c>
      <c r="P46" s="33">
        <f t="shared" si="92"/>
        <v>0</v>
      </c>
      <c r="Q46" s="33">
        <f t="shared" si="92"/>
        <v>0</v>
      </c>
      <c r="R46" s="33">
        <f t="shared" si="92"/>
        <v>0</v>
      </c>
      <c r="S46" s="33">
        <f t="shared" si="92"/>
        <v>0</v>
      </c>
      <c r="T46" s="33">
        <f t="shared" si="92"/>
        <v>0</v>
      </c>
      <c r="U46" s="33">
        <f t="shared" si="92"/>
        <v>0</v>
      </c>
      <c r="V46" s="33">
        <f t="shared" si="92"/>
        <v>0</v>
      </c>
      <c r="W46" s="33">
        <f t="shared" si="92"/>
        <v>290133.33333333331</v>
      </c>
      <c r="X46" s="33">
        <f t="shared" si="92"/>
        <v>580266.66666666663</v>
      </c>
      <c r="Y46" s="33">
        <f t="shared" si="92"/>
        <v>870400</v>
      </c>
      <c r="Z46" s="33">
        <f t="shared" si="92"/>
        <v>1160533.3333333333</v>
      </c>
      <c r="AA46" s="33">
        <f t="shared" si="92"/>
        <v>1450666.6666666665</v>
      </c>
      <c r="AB46" s="33">
        <f t="shared" si="92"/>
        <v>1450666.6666666665</v>
      </c>
      <c r="AC46" s="33">
        <f t="shared" si="92"/>
        <v>1160533.3333333333</v>
      </c>
      <c r="AD46" s="33">
        <f t="shared" si="92"/>
        <v>870400</v>
      </c>
      <c r="AE46" s="33">
        <f t="shared" si="92"/>
        <v>580266.66666666663</v>
      </c>
      <c r="AF46" s="33">
        <f t="shared" si="92"/>
        <v>290133.33333333331</v>
      </c>
      <c r="AG46" s="33">
        <f t="shared" si="92"/>
        <v>0</v>
      </c>
      <c r="AH46" s="33">
        <f t="shared" si="92"/>
        <v>0</v>
      </c>
      <c r="AI46" s="33">
        <f t="shared" si="92"/>
        <v>0</v>
      </c>
      <c r="AJ46" s="33">
        <f t="shared" si="92"/>
        <v>0</v>
      </c>
      <c r="AK46" s="14">
        <f t="shared" si="57"/>
        <v>0</v>
      </c>
      <c r="AM46">
        <f t="shared" si="58"/>
        <v>0</v>
      </c>
      <c r="AN46">
        <f t="shared" si="59"/>
        <v>0</v>
      </c>
      <c r="AO46">
        <f t="shared" si="60"/>
        <v>0</v>
      </c>
      <c r="AP46">
        <f t="shared" si="61"/>
        <v>0</v>
      </c>
      <c r="AQ46">
        <f t="shared" si="62"/>
        <v>0</v>
      </c>
      <c r="AR46">
        <f t="shared" si="63"/>
        <v>0</v>
      </c>
      <c r="AS46">
        <f t="shared" si="64"/>
        <v>0</v>
      </c>
      <c r="AT46">
        <f t="shared" si="65"/>
        <v>0</v>
      </c>
      <c r="AU46">
        <f t="shared" si="66"/>
        <v>0</v>
      </c>
      <c r="AV46">
        <f t="shared" si="67"/>
        <v>0</v>
      </c>
      <c r="AW46">
        <f t="shared" si="68"/>
        <v>0</v>
      </c>
      <c r="AX46">
        <f t="shared" si="69"/>
        <v>0</v>
      </c>
      <c r="AY46">
        <f t="shared" si="70"/>
        <v>1</v>
      </c>
      <c r="AZ46">
        <f t="shared" si="71"/>
        <v>2</v>
      </c>
      <c r="BA46">
        <f t="shared" si="72"/>
        <v>3</v>
      </c>
      <c r="BB46">
        <f t="shared" si="73"/>
        <v>4</v>
      </c>
      <c r="BC46">
        <f t="shared" si="74"/>
        <v>5</v>
      </c>
      <c r="BD46">
        <f t="shared" si="75"/>
        <v>5</v>
      </c>
      <c r="BE46">
        <f t="shared" si="76"/>
        <v>4</v>
      </c>
      <c r="BF46">
        <f t="shared" si="77"/>
        <v>3</v>
      </c>
      <c r="BG46">
        <f t="shared" si="78"/>
        <v>2</v>
      </c>
      <c r="BH46">
        <f t="shared" si="79"/>
        <v>1</v>
      </c>
      <c r="BI46">
        <f t="shared" si="80"/>
        <v>0</v>
      </c>
      <c r="BJ46">
        <f t="shared" si="81"/>
        <v>0</v>
      </c>
      <c r="BK46">
        <f t="shared" si="82"/>
        <v>0</v>
      </c>
      <c r="BL46">
        <f t="shared" si="83"/>
        <v>0</v>
      </c>
      <c r="BM46">
        <f t="shared" si="84"/>
        <v>30</v>
      </c>
    </row>
    <row r="47" spans="1:65">
      <c r="A47" s="19" t="s">
        <v>175</v>
      </c>
      <c r="B47" s="19" t="s">
        <v>360</v>
      </c>
      <c r="C47" s="19" t="s">
        <v>18</v>
      </c>
      <c r="D47" s="25" t="s">
        <v>327</v>
      </c>
      <c r="E47" s="21">
        <v>7900</v>
      </c>
      <c r="F47" s="19">
        <v>18</v>
      </c>
      <c r="G47" s="19">
        <v>18</v>
      </c>
      <c r="H47" s="19">
        <f t="shared" si="55"/>
        <v>1</v>
      </c>
      <c r="I47" s="19" t="s">
        <v>39</v>
      </c>
      <c r="J47" s="32" t="s">
        <v>73</v>
      </c>
      <c r="K47" s="33">
        <f t="shared" ref="K47:T49" si="93">IF(AND(K$79&gt;=$F47,K$79&lt;=$G47),$E47/$H47,0)</f>
        <v>0</v>
      </c>
      <c r="L47" s="33">
        <f t="shared" si="93"/>
        <v>0</v>
      </c>
      <c r="M47" s="33">
        <f t="shared" si="93"/>
        <v>0</v>
      </c>
      <c r="N47" s="33">
        <f t="shared" si="93"/>
        <v>0</v>
      </c>
      <c r="O47" s="33">
        <f t="shared" si="93"/>
        <v>0</v>
      </c>
      <c r="P47" s="33">
        <f t="shared" si="93"/>
        <v>0</v>
      </c>
      <c r="Q47" s="33">
        <f t="shared" si="93"/>
        <v>0</v>
      </c>
      <c r="R47" s="33">
        <f t="shared" si="93"/>
        <v>0</v>
      </c>
      <c r="S47" s="33">
        <f t="shared" si="93"/>
        <v>0</v>
      </c>
      <c r="T47" s="33">
        <f t="shared" si="93"/>
        <v>0</v>
      </c>
      <c r="U47" s="33">
        <f t="shared" ref="U47:AD49" si="94">IF(AND(U$79&gt;=$F47,U$79&lt;=$G47),$E47/$H47,0)</f>
        <v>0</v>
      </c>
      <c r="V47" s="33">
        <f t="shared" si="94"/>
        <v>0</v>
      </c>
      <c r="W47" s="33">
        <f t="shared" si="94"/>
        <v>0</v>
      </c>
      <c r="X47" s="33">
        <f t="shared" si="94"/>
        <v>0</v>
      </c>
      <c r="Y47" s="33">
        <f t="shared" si="94"/>
        <v>0</v>
      </c>
      <c r="Z47" s="33">
        <f t="shared" si="94"/>
        <v>0</v>
      </c>
      <c r="AA47" s="33">
        <f t="shared" si="94"/>
        <v>0</v>
      </c>
      <c r="AB47" s="33">
        <f t="shared" si="94"/>
        <v>7900</v>
      </c>
      <c r="AC47" s="33">
        <f t="shared" si="94"/>
        <v>0</v>
      </c>
      <c r="AD47" s="33">
        <f t="shared" si="94"/>
        <v>0</v>
      </c>
      <c r="AE47" s="33">
        <f t="shared" ref="AE47:AJ49" si="95">IF(AND(AE$79&gt;=$F47,AE$79&lt;=$G47),$E47/$H47,0)</f>
        <v>0</v>
      </c>
      <c r="AF47" s="33">
        <f t="shared" si="95"/>
        <v>0</v>
      </c>
      <c r="AG47" s="33">
        <f t="shared" si="95"/>
        <v>0</v>
      </c>
      <c r="AH47" s="33">
        <f t="shared" si="95"/>
        <v>0</v>
      </c>
      <c r="AI47" s="33">
        <f t="shared" si="95"/>
        <v>0</v>
      </c>
      <c r="AJ47" s="33">
        <f t="shared" si="95"/>
        <v>0</v>
      </c>
      <c r="AK47" s="14">
        <f t="shared" si="57"/>
        <v>0</v>
      </c>
      <c r="AM47">
        <f t="shared" si="58"/>
        <v>0</v>
      </c>
      <c r="AN47">
        <f t="shared" si="59"/>
        <v>0</v>
      </c>
      <c r="AO47">
        <f t="shared" si="60"/>
        <v>0</v>
      </c>
      <c r="AP47">
        <f t="shared" si="61"/>
        <v>0</v>
      </c>
      <c r="AQ47">
        <f t="shared" si="62"/>
        <v>0</v>
      </c>
      <c r="AR47">
        <f t="shared" si="63"/>
        <v>0</v>
      </c>
      <c r="AS47">
        <f t="shared" si="64"/>
        <v>0</v>
      </c>
      <c r="AT47">
        <f t="shared" si="65"/>
        <v>0</v>
      </c>
      <c r="AU47">
        <f t="shared" si="66"/>
        <v>0</v>
      </c>
      <c r="AV47">
        <f t="shared" si="67"/>
        <v>0</v>
      </c>
      <c r="AW47">
        <f t="shared" si="68"/>
        <v>0</v>
      </c>
      <c r="AX47">
        <f t="shared" si="69"/>
        <v>0</v>
      </c>
      <c r="AY47">
        <f t="shared" si="70"/>
        <v>0</v>
      </c>
      <c r="AZ47">
        <f t="shared" si="71"/>
        <v>0</v>
      </c>
      <c r="BA47">
        <f t="shared" si="72"/>
        <v>0</v>
      </c>
      <c r="BB47">
        <f t="shared" si="73"/>
        <v>0</v>
      </c>
      <c r="BC47">
        <f t="shared" si="74"/>
        <v>0</v>
      </c>
      <c r="BD47">
        <f t="shared" si="75"/>
        <v>1</v>
      </c>
      <c r="BE47">
        <f t="shared" si="76"/>
        <v>0</v>
      </c>
      <c r="BF47">
        <f t="shared" si="77"/>
        <v>0</v>
      </c>
      <c r="BG47">
        <f t="shared" si="78"/>
        <v>0</v>
      </c>
      <c r="BH47">
        <f t="shared" si="79"/>
        <v>0</v>
      </c>
      <c r="BI47">
        <f t="shared" si="80"/>
        <v>0</v>
      </c>
      <c r="BJ47">
        <f t="shared" si="81"/>
        <v>0</v>
      </c>
      <c r="BK47">
        <f t="shared" si="82"/>
        <v>0</v>
      </c>
      <c r="BL47">
        <f t="shared" si="83"/>
        <v>0</v>
      </c>
      <c r="BM47">
        <f t="shared" si="84"/>
        <v>1</v>
      </c>
    </row>
    <row r="48" spans="1:65" ht="25">
      <c r="A48" s="19" t="s">
        <v>178</v>
      </c>
      <c r="B48" s="19" t="s">
        <v>361</v>
      </c>
      <c r="C48" s="19" t="s">
        <v>18</v>
      </c>
      <c r="D48" s="25" t="s">
        <v>327</v>
      </c>
      <c r="E48" s="21">
        <v>23700</v>
      </c>
      <c r="F48" s="19">
        <v>18</v>
      </c>
      <c r="G48" s="19">
        <v>18</v>
      </c>
      <c r="H48" s="19">
        <f t="shared" si="55"/>
        <v>1</v>
      </c>
      <c r="I48" s="19" t="s">
        <v>39</v>
      </c>
      <c r="J48" s="32" t="s">
        <v>180</v>
      </c>
      <c r="K48" s="33">
        <f t="shared" si="93"/>
        <v>0</v>
      </c>
      <c r="L48" s="33">
        <f t="shared" si="93"/>
        <v>0</v>
      </c>
      <c r="M48" s="33">
        <f t="shared" si="93"/>
        <v>0</v>
      </c>
      <c r="N48" s="33">
        <f t="shared" si="93"/>
        <v>0</v>
      </c>
      <c r="O48" s="33">
        <f t="shared" si="93"/>
        <v>0</v>
      </c>
      <c r="P48" s="33">
        <f t="shared" si="93"/>
        <v>0</v>
      </c>
      <c r="Q48" s="33">
        <f t="shared" si="93"/>
        <v>0</v>
      </c>
      <c r="R48" s="33">
        <f t="shared" si="93"/>
        <v>0</v>
      </c>
      <c r="S48" s="33">
        <f t="shared" si="93"/>
        <v>0</v>
      </c>
      <c r="T48" s="33">
        <f t="shared" si="93"/>
        <v>0</v>
      </c>
      <c r="U48" s="33">
        <f t="shared" si="94"/>
        <v>0</v>
      </c>
      <c r="V48" s="33">
        <f t="shared" si="94"/>
        <v>0</v>
      </c>
      <c r="W48" s="33">
        <f t="shared" si="94"/>
        <v>0</v>
      </c>
      <c r="X48" s="33">
        <f t="shared" si="94"/>
        <v>0</v>
      </c>
      <c r="Y48" s="33">
        <f t="shared" si="94"/>
        <v>0</v>
      </c>
      <c r="Z48" s="33">
        <f t="shared" si="94"/>
        <v>0</v>
      </c>
      <c r="AA48" s="33">
        <f t="shared" si="94"/>
        <v>0</v>
      </c>
      <c r="AB48" s="33">
        <f t="shared" si="94"/>
        <v>23700</v>
      </c>
      <c r="AC48" s="33">
        <f t="shared" si="94"/>
        <v>0</v>
      </c>
      <c r="AD48" s="33">
        <f t="shared" si="94"/>
        <v>0</v>
      </c>
      <c r="AE48" s="33">
        <f t="shared" si="95"/>
        <v>0</v>
      </c>
      <c r="AF48" s="33">
        <f t="shared" si="95"/>
        <v>0</v>
      </c>
      <c r="AG48" s="33">
        <f t="shared" si="95"/>
        <v>0</v>
      </c>
      <c r="AH48" s="33">
        <f t="shared" si="95"/>
        <v>0</v>
      </c>
      <c r="AI48" s="33">
        <f t="shared" si="95"/>
        <v>0</v>
      </c>
      <c r="AJ48" s="33">
        <f t="shared" si="95"/>
        <v>0</v>
      </c>
      <c r="AK48" s="14">
        <f t="shared" si="57"/>
        <v>0</v>
      </c>
      <c r="AM48">
        <f t="shared" si="58"/>
        <v>0</v>
      </c>
      <c r="AN48">
        <f t="shared" si="59"/>
        <v>0</v>
      </c>
      <c r="AO48">
        <f t="shared" si="60"/>
        <v>0</v>
      </c>
      <c r="AP48">
        <f t="shared" si="61"/>
        <v>0</v>
      </c>
      <c r="AQ48">
        <f t="shared" si="62"/>
        <v>0</v>
      </c>
      <c r="AR48">
        <f t="shared" si="63"/>
        <v>0</v>
      </c>
      <c r="AS48">
        <f t="shared" si="64"/>
        <v>0</v>
      </c>
      <c r="AT48">
        <f t="shared" si="65"/>
        <v>0</v>
      </c>
      <c r="AU48">
        <f t="shared" si="66"/>
        <v>0</v>
      </c>
      <c r="AV48">
        <f t="shared" si="67"/>
        <v>0</v>
      </c>
      <c r="AW48">
        <f t="shared" si="68"/>
        <v>0</v>
      </c>
      <c r="AX48">
        <f t="shared" si="69"/>
        <v>0</v>
      </c>
      <c r="AY48">
        <f t="shared" si="70"/>
        <v>0</v>
      </c>
      <c r="AZ48">
        <f t="shared" si="71"/>
        <v>0</v>
      </c>
      <c r="BA48">
        <f t="shared" si="72"/>
        <v>0</v>
      </c>
      <c r="BB48">
        <f t="shared" si="73"/>
        <v>0</v>
      </c>
      <c r="BC48">
        <f t="shared" si="74"/>
        <v>0</v>
      </c>
      <c r="BD48">
        <f t="shared" si="75"/>
        <v>1</v>
      </c>
      <c r="BE48">
        <f t="shared" si="76"/>
        <v>0</v>
      </c>
      <c r="BF48">
        <f t="shared" si="77"/>
        <v>0</v>
      </c>
      <c r="BG48">
        <f t="shared" si="78"/>
        <v>0</v>
      </c>
      <c r="BH48">
        <f t="shared" si="79"/>
        <v>0</v>
      </c>
      <c r="BI48">
        <f t="shared" si="80"/>
        <v>0</v>
      </c>
      <c r="BJ48">
        <f t="shared" si="81"/>
        <v>0</v>
      </c>
      <c r="BK48">
        <f t="shared" si="82"/>
        <v>0</v>
      </c>
      <c r="BL48">
        <f t="shared" si="83"/>
        <v>0</v>
      </c>
      <c r="BM48">
        <f t="shared" si="84"/>
        <v>1</v>
      </c>
    </row>
    <row r="49" spans="1:65" ht="25">
      <c r="A49" s="19" t="s">
        <v>181</v>
      </c>
      <c r="B49" s="19" t="s">
        <v>362</v>
      </c>
      <c r="C49" s="19" t="s">
        <v>18</v>
      </c>
      <c r="D49" s="25" t="s">
        <v>327</v>
      </c>
      <c r="E49" s="21">
        <v>126400</v>
      </c>
      <c r="F49" s="19">
        <v>19</v>
      </c>
      <c r="G49" s="19">
        <v>19</v>
      </c>
      <c r="H49" s="19">
        <f t="shared" si="55"/>
        <v>1</v>
      </c>
      <c r="I49" s="19" t="s">
        <v>39</v>
      </c>
      <c r="J49" s="32" t="s">
        <v>183</v>
      </c>
      <c r="K49" s="33">
        <f t="shared" si="93"/>
        <v>0</v>
      </c>
      <c r="L49" s="33">
        <f t="shared" si="93"/>
        <v>0</v>
      </c>
      <c r="M49" s="33">
        <f t="shared" si="93"/>
        <v>0</v>
      </c>
      <c r="N49" s="33">
        <f t="shared" si="93"/>
        <v>0</v>
      </c>
      <c r="O49" s="33">
        <f t="shared" si="93"/>
        <v>0</v>
      </c>
      <c r="P49" s="33">
        <f t="shared" si="93"/>
        <v>0</v>
      </c>
      <c r="Q49" s="33">
        <f t="shared" si="93"/>
        <v>0</v>
      </c>
      <c r="R49" s="33">
        <f t="shared" si="93"/>
        <v>0</v>
      </c>
      <c r="S49" s="33">
        <f t="shared" si="93"/>
        <v>0</v>
      </c>
      <c r="T49" s="33">
        <f t="shared" si="93"/>
        <v>0</v>
      </c>
      <c r="U49" s="33">
        <f t="shared" si="94"/>
        <v>0</v>
      </c>
      <c r="V49" s="33">
        <f t="shared" si="94"/>
        <v>0</v>
      </c>
      <c r="W49" s="33">
        <f t="shared" si="94"/>
        <v>0</v>
      </c>
      <c r="X49" s="33">
        <f t="shared" si="94"/>
        <v>0</v>
      </c>
      <c r="Y49" s="33">
        <f t="shared" si="94"/>
        <v>0</v>
      </c>
      <c r="Z49" s="33">
        <f t="shared" si="94"/>
        <v>0</v>
      </c>
      <c r="AA49" s="33">
        <f t="shared" si="94"/>
        <v>0</v>
      </c>
      <c r="AB49" s="33">
        <f t="shared" si="94"/>
        <v>0</v>
      </c>
      <c r="AC49" s="33">
        <f t="shared" si="94"/>
        <v>126400</v>
      </c>
      <c r="AD49" s="33">
        <f t="shared" si="94"/>
        <v>0</v>
      </c>
      <c r="AE49" s="33">
        <f t="shared" si="95"/>
        <v>0</v>
      </c>
      <c r="AF49" s="33">
        <f t="shared" si="95"/>
        <v>0</v>
      </c>
      <c r="AG49" s="33">
        <f t="shared" si="95"/>
        <v>0</v>
      </c>
      <c r="AH49" s="33">
        <f t="shared" si="95"/>
        <v>0</v>
      </c>
      <c r="AI49" s="33">
        <f t="shared" si="95"/>
        <v>0</v>
      </c>
      <c r="AJ49" s="33">
        <f t="shared" si="95"/>
        <v>0</v>
      </c>
      <c r="AK49" s="14">
        <f t="shared" si="57"/>
        <v>0</v>
      </c>
      <c r="AM49">
        <f t="shared" si="58"/>
        <v>0</v>
      </c>
      <c r="AN49">
        <f t="shared" si="59"/>
        <v>0</v>
      </c>
      <c r="AO49">
        <f t="shared" si="60"/>
        <v>0</v>
      </c>
      <c r="AP49">
        <f t="shared" si="61"/>
        <v>0</v>
      </c>
      <c r="AQ49">
        <f t="shared" si="62"/>
        <v>0</v>
      </c>
      <c r="AR49">
        <f t="shared" si="63"/>
        <v>0</v>
      </c>
      <c r="AS49">
        <f t="shared" si="64"/>
        <v>0</v>
      </c>
      <c r="AT49">
        <f t="shared" si="65"/>
        <v>0</v>
      </c>
      <c r="AU49">
        <f t="shared" si="66"/>
        <v>0</v>
      </c>
      <c r="AV49">
        <f t="shared" si="67"/>
        <v>0</v>
      </c>
      <c r="AW49">
        <f t="shared" si="68"/>
        <v>0</v>
      </c>
      <c r="AX49">
        <f t="shared" si="69"/>
        <v>0</v>
      </c>
      <c r="AY49">
        <f t="shared" si="70"/>
        <v>0</v>
      </c>
      <c r="AZ49">
        <f t="shared" si="71"/>
        <v>0</v>
      </c>
      <c r="BA49">
        <f t="shared" si="72"/>
        <v>0</v>
      </c>
      <c r="BB49">
        <f t="shared" si="73"/>
        <v>0</v>
      </c>
      <c r="BC49">
        <f t="shared" si="74"/>
        <v>0</v>
      </c>
      <c r="BD49">
        <f t="shared" si="75"/>
        <v>0</v>
      </c>
      <c r="BE49">
        <f t="shared" si="76"/>
        <v>1</v>
      </c>
      <c r="BF49">
        <f t="shared" si="77"/>
        <v>0</v>
      </c>
      <c r="BG49">
        <f t="shared" si="78"/>
        <v>0</v>
      </c>
      <c r="BH49">
        <f t="shared" si="79"/>
        <v>0</v>
      </c>
      <c r="BI49">
        <f t="shared" si="80"/>
        <v>0</v>
      </c>
      <c r="BJ49">
        <f t="shared" si="81"/>
        <v>0</v>
      </c>
      <c r="BK49">
        <f t="shared" si="82"/>
        <v>0</v>
      </c>
      <c r="BL49">
        <f t="shared" si="83"/>
        <v>0</v>
      </c>
      <c r="BM49">
        <f t="shared" si="84"/>
        <v>1</v>
      </c>
    </row>
    <row r="50" spans="1:65" ht="50">
      <c r="A50" s="19" t="s">
        <v>184</v>
      </c>
      <c r="B50" s="19" t="s">
        <v>363</v>
      </c>
      <c r="C50" s="19" t="s">
        <v>18</v>
      </c>
      <c r="D50" s="26" t="s">
        <v>331</v>
      </c>
      <c r="E50" s="21">
        <v>632000</v>
      </c>
      <c r="F50" s="19">
        <v>20</v>
      </c>
      <c r="G50" s="19">
        <v>25</v>
      </c>
      <c r="H50" s="19">
        <f t="shared" si="55"/>
        <v>6</v>
      </c>
      <c r="I50" s="19" t="s">
        <v>39</v>
      </c>
      <c r="J50" s="32" t="s">
        <v>186</v>
      </c>
      <c r="K50" s="33">
        <f t="shared" ref="K50:AJ50" si="96">IF(AND(K$79&gt;=$F50,K$79&lt;=$G50),AM50/$BM$50*$E50,0)</f>
        <v>0</v>
      </c>
      <c r="L50" s="33">
        <f t="shared" si="96"/>
        <v>0</v>
      </c>
      <c r="M50" s="33">
        <f t="shared" si="96"/>
        <v>0</v>
      </c>
      <c r="N50" s="33">
        <f t="shared" si="96"/>
        <v>0</v>
      </c>
      <c r="O50" s="33">
        <f t="shared" si="96"/>
        <v>0</v>
      </c>
      <c r="P50" s="33">
        <f t="shared" si="96"/>
        <v>0</v>
      </c>
      <c r="Q50" s="33">
        <f t="shared" si="96"/>
        <v>0</v>
      </c>
      <c r="R50" s="33">
        <f t="shared" si="96"/>
        <v>0</v>
      </c>
      <c r="S50" s="33">
        <f t="shared" si="96"/>
        <v>0</v>
      </c>
      <c r="T50" s="33">
        <f t="shared" si="96"/>
        <v>0</v>
      </c>
      <c r="U50" s="33">
        <f t="shared" si="96"/>
        <v>0</v>
      </c>
      <c r="V50" s="33">
        <f t="shared" si="96"/>
        <v>0</v>
      </c>
      <c r="W50" s="33">
        <f t="shared" si="96"/>
        <v>0</v>
      </c>
      <c r="X50" s="33">
        <f t="shared" si="96"/>
        <v>0</v>
      </c>
      <c r="Y50" s="33">
        <f t="shared" si="96"/>
        <v>0</v>
      </c>
      <c r="Z50" s="33">
        <f t="shared" si="96"/>
        <v>0</v>
      </c>
      <c r="AA50" s="33">
        <f t="shared" si="96"/>
        <v>0</v>
      </c>
      <c r="AB50" s="33">
        <f t="shared" si="96"/>
        <v>0</v>
      </c>
      <c r="AC50" s="33">
        <f t="shared" si="96"/>
        <v>0</v>
      </c>
      <c r="AD50" s="33">
        <f t="shared" si="96"/>
        <v>52666.666666666664</v>
      </c>
      <c r="AE50" s="33">
        <f t="shared" si="96"/>
        <v>105333.33333333333</v>
      </c>
      <c r="AF50" s="33">
        <f t="shared" si="96"/>
        <v>158000</v>
      </c>
      <c r="AG50" s="33">
        <f t="shared" si="96"/>
        <v>158000</v>
      </c>
      <c r="AH50" s="33">
        <f t="shared" si="96"/>
        <v>105333.33333333333</v>
      </c>
      <c r="AI50" s="33">
        <f t="shared" si="96"/>
        <v>52666.666666666664</v>
      </c>
      <c r="AJ50" s="33">
        <f t="shared" si="96"/>
        <v>0</v>
      </c>
      <c r="AK50" s="14">
        <f t="shared" si="57"/>
        <v>0</v>
      </c>
      <c r="AM50">
        <f t="shared" si="58"/>
        <v>0</v>
      </c>
      <c r="AN50">
        <f t="shared" si="59"/>
        <v>0</v>
      </c>
      <c r="AO50">
        <f t="shared" si="60"/>
        <v>0</v>
      </c>
      <c r="AP50">
        <f t="shared" si="61"/>
        <v>0</v>
      </c>
      <c r="AQ50">
        <f t="shared" si="62"/>
        <v>0</v>
      </c>
      <c r="AR50">
        <f t="shared" si="63"/>
        <v>0</v>
      </c>
      <c r="AS50">
        <f t="shared" si="64"/>
        <v>0</v>
      </c>
      <c r="AT50">
        <f t="shared" si="65"/>
        <v>0</v>
      </c>
      <c r="AU50">
        <f t="shared" si="66"/>
        <v>0</v>
      </c>
      <c r="AV50">
        <f t="shared" si="67"/>
        <v>0</v>
      </c>
      <c r="AW50">
        <f t="shared" si="68"/>
        <v>0</v>
      </c>
      <c r="AX50">
        <f t="shared" si="69"/>
        <v>0</v>
      </c>
      <c r="AY50">
        <f t="shared" si="70"/>
        <v>0</v>
      </c>
      <c r="AZ50">
        <f t="shared" si="71"/>
        <v>0</v>
      </c>
      <c r="BA50">
        <f t="shared" si="72"/>
        <v>0</v>
      </c>
      <c r="BB50">
        <f t="shared" si="73"/>
        <v>0</v>
      </c>
      <c r="BC50">
        <f t="shared" si="74"/>
        <v>0</v>
      </c>
      <c r="BD50">
        <f t="shared" si="75"/>
        <v>0</v>
      </c>
      <c r="BE50">
        <f t="shared" si="76"/>
        <v>0</v>
      </c>
      <c r="BF50">
        <f t="shared" si="77"/>
        <v>1</v>
      </c>
      <c r="BG50">
        <f t="shared" si="78"/>
        <v>2</v>
      </c>
      <c r="BH50">
        <f t="shared" si="79"/>
        <v>3</v>
      </c>
      <c r="BI50">
        <f t="shared" si="80"/>
        <v>3</v>
      </c>
      <c r="BJ50">
        <f t="shared" si="81"/>
        <v>2</v>
      </c>
      <c r="BK50">
        <f t="shared" si="82"/>
        <v>1</v>
      </c>
      <c r="BL50">
        <f t="shared" si="83"/>
        <v>0</v>
      </c>
      <c r="BM50">
        <f t="shared" si="84"/>
        <v>12</v>
      </c>
    </row>
    <row r="51" spans="1:65">
      <c r="A51" s="19" t="s">
        <v>187</v>
      </c>
      <c r="B51" s="19" t="s">
        <v>364</v>
      </c>
      <c r="C51" s="19" t="s">
        <v>18</v>
      </c>
      <c r="D51" s="25" t="s">
        <v>327</v>
      </c>
      <c r="E51" s="21">
        <v>2000</v>
      </c>
      <c r="F51" s="19">
        <v>22</v>
      </c>
      <c r="G51" s="19">
        <v>22</v>
      </c>
      <c r="H51" s="19">
        <f t="shared" si="55"/>
        <v>1</v>
      </c>
      <c r="I51" s="19" t="s">
        <v>39</v>
      </c>
      <c r="J51" s="32" t="s">
        <v>73</v>
      </c>
      <c r="K51" s="33">
        <f t="shared" ref="K51:T53" si="97">IF(AND(K$79&gt;=$F51,K$79&lt;=$G51),$E51/$H51,0)</f>
        <v>0</v>
      </c>
      <c r="L51" s="33">
        <f t="shared" si="97"/>
        <v>0</v>
      </c>
      <c r="M51" s="33">
        <f t="shared" si="97"/>
        <v>0</v>
      </c>
      <c r="N51" s="33">
        <f t="shared" si="97"/>
        <v>0</v>
      </c>
      <c r="O51" s="33">
        <f t="shared" si="97"/>
        <v>0</v>
      </c>
      <c r="P51" s="33">
        <f t="shared" si="97"/>
        <v>0</v>
      </c>
      <c r="Q51" s="33">
        <f t="shared" si="97"/>
        <v>0</v>
      </c>
      <c r="R51" s="33">
        <f t="shared" si="97"/>
        <v>0</v>
      </c>
      <c r="S51" s="33">
        <f t="shared" si="97"/>
        <v>0</v>
      </c>
      <c r="T51" s="33">
        <f t="shared" si="97"/>
        <v>0</v>
      </c>
      <c r="U51" s="33">
        <f t="shared" ref="U51:AD53" si="98">IF(AND(U$79&gt;=$F51,U$79&lt;=$G51),$E51/$H51,0)</f>
        <v>0</v>
      </c>
      <c r="V51" s="33">
        <f t="shared" si="98"/>
        <v>0</v>
      </c>
      <c r="W51" s="33">
        <f t="shared" si="98"/>
        <v>0</v>
      </c>
      <c r="X51" s="33">
        <f t="shared" si="98"/>
        <v>0</v>
      </c>
      <c r="Y51" s="33">
        <f t="shared" si="98"/>
        <v>0</v>
      </c>
      <c r="Z51" s="33">
        <f t="shared" si="98"/>
        <v>0</v>
      </c>
      <c r="AA51" s="33">
        <f t="shared" si="98"/>
        <v>0</v>
      </c>
      <c r="AB51" s="33">
        <f t="shared" si="98"/>
        <v>0</v>
      </c>
      <c r="AC51" s="33">
        <f t="shared" si="98"/>
        <v>0</v>
      </c>
      <c r="AD51" s="33">
        <f t="shared" si="98"/>
        <v>0</v>
      </c>
      <c r="AE51" s="33">
        <f t="shared" ref="AE51:AJ53" si="99">IF(AND(AE$79&gt;=$F51,AE$79&lt;=$G51),$E51/$H51,0)</f>
        <v>0</v>
      </c>
      <c r="AF51" s="33">
        <f t="shared" si="99"/>
        <v>2000</v>
      </c>
      <c r="AG51" s="33">
        <f t="shared" si="99"/>
        <v>0</v>
      </c>
      <c r="AH51" s="33">
        <f t="shared" si="99"/>
        <v>0</v>
      </c>
      <c r="AI51" s="33">
        <f t="shared" si="99"/>
        <v>0</v>
      </c>
      <c r="AJ51" s="33">
        <f t="shared" si="99"/>
        <v>0</v>
      </c>
      <c r="AK51" s="14">
        <f t="shared" si="57"/>
        <v>0</v>
      </c>
      <c r="AM51">
        <f t="shared" si="58"/>
        <v>0</v>
      </c>
      <c r="AN51">
        <f t="shared" si="59"/>
        <v>0</v>
      </c>
      <c r="AO51">
        <f t="shared" si="60"/>
        <v>0</v>
      </c>
      <c r="AP51">
        <f t="shared" si="61"/>
        <v>0</v>
      </c>
      <c r="AQ51">
        <f t="shared" si="62"/>
        <v>0</v>
      </c>
      <c r="AR51">
        <f t="shared" si="63"/>
        <v>0</v>
      </c>
      <c r="AS51">
        <f t="shared" si="64"/>
        <v>0</v>
      </c>
      <c r="AT51">
        <f t="shared" si="65"/>
        <v>0</v>
      </c>
      <c r="AU51">
        <f t="shared" si="66"/>
        <v>0</v>
      </c>
      <c r="AV51">
        <f t="shared" si="67"/>
        <v>0</v>
      </c>
      <c r="AW51">
        <f t="shared" si="68"/>
        <v>0</v>
      </c>
      <c r="AX51">
        <f t="shared" si="69"/>
        <v>0</v>
      </c>
      <c r="AY51">
        <f t="shared" si="70"/>
        <v>0</v>
      </c>
      <c r="AZ51">
        <f t="shared" si="71"/>
        <v>0</v>
      </c>
      <c r="BA51">
        <f t="shared" si="72"/>
        <v>0</v>
      </c>
      <c r="BB51">
        <f t="shared" si="73"/>
        <v>0</v>
      </c>
      <c r="BC51">
        <f t="shared" si="74"/>
        <v>0</v>
      </c>
      <c r="BD51">
        <f t="shared" si="75"/>
        <v>0</v>
      </c>
      <c r="BE51">
        <f t="shared" si="76"/>
        <v>0</v>
      </c>
      <c r="BF51">
        <f t="shared" si="77"/>
        <v>0</v>
      </c>
      <c r="BG51">
        <f t="shared" si="78"/>
        <v>0</v>
      </c>
      <c r="BH51">
        <f t="shared" si="79"/>
        <v>1</v>
      </c>
      <c r="BI51">
        <f t="shared" si="80"/>
        <v>0</v>
      </c>
      <c r="BJ51">
        <f t="shared" si="81"/>
        <v>0</v>
      </c>
      <c r="BK51">
        <f t="shared" si="82"/>
        <v>0</v>
      </c>
      <c r="BL51">
        <f t="shared" si="83"/>
        <v>0</v>
      </c>
      <c r="BM51">
        <f t="shared" si="84"/>
        <v>1</v>
      </c>
    </row>
    <row r="52" spans="1:65" ht="25">
      <c r="A52" s="19" t="s">
        <v>190</v>
      </c>
      <c r="B52" s="19" t="s">
        <v>365</v>
      </c>
      <c r="C52" s="19" t="s">
        <v>18</v>
      </c>
      <c r="D52" s="25" t="s">
        <v>327</v>
      </c>
      <c r="E52" s="21">
        <v>6000</v>
      </c>
      <c r="F52" s="19">
        <v>22</v>
      </c>
      <c r="G52" s="19">
        <v>22</v>
      </c>
      <c r="H52" s="19">
        <f t="shared" si="55"/>
        <v>1</v>
      </c>
      <c r="I52" s="19" t="s">
        <v>39</v>
      </c>
      <c r="J52" s="32" t="s">
        <v>192</v>
      </c>
      <c r="K52" s="33">
        <f t="shared" si="97"/>
        <v>0</v>
      </c>
      <c r="L52" s="33">
        <f t="shared" si="97"/>
        <v>0</v>
      </c>
      <c r="M52" s="33">
        <f t="shared" si="97"/>
        <v>0</v>
      </c>
      <c r="N52" s="33">
        <f t="shared" si="97"/>
        <v>0</v>
      </c>
      <c r="O52" s="33">
        <f t="shared" si="97"/>
        <v>0</v>
      </c>
      <c r="P52" s="33">
        <f t="shared" si="97"/>
        <v>0</v>
      </c>
      <c r="Q52" s="33">
        <f t="shared" si="97"/>
        <v>0</v>
      </c>
      <c r="R52" s="33">
        <f t="shared" si="97"/>
        <v>0</v>
      </c>
      <c r="S52" s="33">
        <f t="shared" si="97"/>
        <v>0</v>
      </c>
      <c r="T52" s="33">
        <f t="shared" si="97"/>
        <v>0</v>
      </c>
      <c r="U52" s="33">
        <f t="shared" si="98"/>
        <v>0</v>
      </c>
      <c r="V52" s="33">
        <f t="shared" si="98"/>
        <v>0</v>
      </c>
      <c r="W52" s="33">
        <f t="shared" si="98"/>
        <v>0</v>
      </c>
      <c r="X52" s="33">
        <f t="shared" si="98"/>
        <v>0</v>
      </c>
      <c r="Y52" s="33">
        <f t="shared" si="98"/>
        <v>0</v>
      </c>
      <c r="Z52" s="33">
        <f t="shared" si="98"/>
        <v>0</v>
      </c>
      <c r="AA52" s="33">
        <f t="shared" si="98"/>
        <v>0</v>
      </c>
      <c r="AB52" s="33">
        <f t="shared" si="98"/>
        <v>0</v>
      </c>
      <c r="AC52" s="33">
        <f t="shared" si="98"/>
        <v>0</v>
      </c>
      <c r="AD52" s="33">
        <f t="shared" si="98"/>
        <v>0</v>
      </c>
      <c r="AE52" s="33">
        <f t="shared" si="99"/>
        <v>0</v>
      </c>
      <c r="AF52" s="33">
        <f t="shared" si="99"/>
        <v>6000</v>
      </c>
      <c r="AG52" s="33">
        <f t="shared" si="99"/>
        <v>0</v>
      </c>
      <c r="AH52" s="33">
        <f t="shared" si="99"/>
        <v>0</v>
      </c>
      <c r="AI52" s="33">
        <f t="shared" si="99"/>
        <v>0</v>
      </c>
      <c r="AJ52" s="33">
        <f t="shared" si="99"/>
        <v>0</v>
      </c>
      <c r="AK52" s="14">
        <f t="shared" si="57"/>
        <v>0</v>
      </c>
      <c r="AM52">
        <f t="shared" si="58"/>
        <v>0</v>
      </c>
      <c r="AN52">
        <f t="shared" si="59"/>
        <v>0</v>
      </c>
      <c r="AO52">
        <f t="shared" si="60"/>
        <v>0</v>
      </c>
      <c r="AP52">
        <f t="shared" si="61"/>
        <v>0</v>
      </c>
      <c r="AQ52">
        <f t="shared" si="62"/>
        <v>0</v>
      </c>
      <c r="AR52">
        <f t="shared" si="63"/>
        <v>0</v>
      </c>
      <c r="AS52">
        <f t="shared" si="64"/>
        <v>0</v>
      </c>
      <c r="AT52">
        <f t="shared" si="65"/>
        <v>0</v>
      </c>
      <c r="AU52">
        <f t="shared" si="66"/>
        <v>0</v>
      </c>
      <c r="AV52">
        <f t="shared" si="67"/>
        <v>0</v>
      </c>
      <c r="AW52">
        <f t="shared" si="68"/>
        <v>0</v>
      </c>
      <c r="AX52">
        <f t="shared" si="69"/>
        <v>0</v>
      </c>
      <c r="AY52">
        <f t="shared" si="70"/>
        <v>0</v>
      </c>
      <c r="AZ52">
        <f t="shared" si="71"/>
        <v>0</v>
      </c>
      <c r="BA52">
        <f t="shared" si="72"/>
        <v>0</v>
      </c>
      <c r="BB52">
        <f t="shared" si="73"/>
        <v>0</v>
      </c>
      <c r="BC52">
        <f t="shared" si="74"/>
        <v>0</v>
      </c>
      <c r="BD52">
        <f t="shared" si="75"/>
        <v>0</v>
      </c>
      <c r="BE52">
        <f t="shared" si="76"/>
        <v>0</v>
      </c>
      <c r="BF52">
        <f t="shared" si="77"/>
        <v>0</v>
      </c>
      <c r="BG52">
        <f t="shared" si="78"/>
        <v>0</v>
      </c>
      <c r="BH52">
        <f t="shared" si="79"/>
        <v>1</v>
      </c>
      <c r="BI52">
        <f t="shared" si="80"/>
        <v>0</v>
      </c>
      <c r="BJ52">
        <f t="shared" si="81"/>
        <v>0</v>
      </c>
      <c r="BK52">
        <f t="shared" si="82"/>
        <v>0</v>
      </c>
      <c r="BL52">
        <f t="shared" si="83"/>
        <v>0</v>
      </c>
      <c r="BM52">
        <f t="shared" si="84"/>
        <v>1</v>
      </c>
    </row>
    <row r="53" spans="1:65">
      <c r="A53" s="19" t="s">
        <v>193</v>
      </c>
      <c r="B53" s="19" t="s">
        <v>366</v>
      </c>
      <c r="C53" s="19" t="s">
        <v>18</v>
      </c>
      <c r="D53" s="25" t="s">
        <v>327</v>
      </c>
      <c r="E53" s="21">
        <v>32000</v>
      </c>
      <c r="F53" s="19">
        <v>22</v>
      </c>
      <c r="G53" s="19">
        <v>22</v>
      </c>
      <c r="H53" s="19">
        <f t="shared" si="55"/>
        <v>1</v>
      </c>
      <c r="I53" s="19" t="s">
        <v>39</v>
      </c>
      <c r="J53" s="32" t="s">
        <v>195</v>
      </c>
      <c r="K53" s="33">
        <f t="shared" si="97"/>
        <v>0</v>
      </c>
      <c r="L53" s="33">
        <f t="shared" si="97"/>
        <v>0</v>
      </c>
      <c r="M53" s="33">
        <f t="shared" si="97"/>
        <v>0</v>
      </c>
      <c r="N53" s="33">
        <f t="shared" si="97"/>
        <v>0</v>
      </c>
      <c r="O53" s="33">
        <f t="shared" si="97"/>
        <v>0</v>
      </c>
      <c r="P53" s="33">
        <f t="shared" si="97"/>
        <v>0</v>
      </c>
      <c r="Q53" s="33">
        <f t="shared" si="97"/>
        <v>0</v>
      </c>
      <c r="R53" s="33">
        <f t="shared" si="97"/>
        <v>0</v>
      </c>
      <c r="S53" s="33">
        <f t="shared" si="97"/>
        <v>0</v>
      </c>
      <c r="T53" s="33">
        <f t="shared" si="97"/>
        <v>0</v>
      </c>
      <c r="U53" s="33">
        <f t="shared" si="98"/>
        <v>0</v>
      </c>
      <c r="V53" s="33">
        <f t="shared" si="98"/>
        <v>0</v>
      </c>
      <c r="W53" s="33">
        <f t="shared" si="98"/>
        <v>0</v>
      </c>
      <c r="X53" s="33">
        <f t="shared" si="98"/>
        <v>0</v>
      </c>
      <c r="Y53" s="33">
        <f t="shared" si="98"/>
        <v>0</v>
      </c>
      <c r="Z53" s="33">
        <f t="shared" si="98"/>
        <v>0</v>
      </c>
      <c r="AA53" s="33">
        <f t="shared" si="98"/>
        <v>0</v>
      </c>
      <c r="AB53" s="33">
        <f t="shared" si="98"/>
        <v>0</v>
      </c>
      <c r="AC53" s="33">
        <f t="shared" si="98"/>
        <v>0</v>
      </c>
      <c r="AD53" s="33">
        <f t="shared" si="98"/>
        <v>0</v>
      </c>
      <c r="AE53" s="33">
        <f t="shared" si="99"/>
        <v>0</v>
      </c>
      <c r="AF53" s="33">
        <f t="shared" si="99"/>
        <v>32000</v>
      </c>
      <c r="AG53" s="33">
        <f t="shared" si="99"/>
        <v>0</v>
      </c>
      <c r="AH53" s="33">
        <f t="shared" si="99"/>
        <v>0</v>
      </c>
      <c r="AI53" s="33">
        <f t="shared" si="99"/>
        <v>0</v>
      </c>
      <c r="AJ53" s="33">
        <f t="shared" si="99"/>
        <v>0</v>
      </c>
      <c r="AK53" s="14">
        <f t="shared" si="57"/>
        <v>0</v>
      </c>
      <c r="AM53">
        <f t="shared" si="58"/>
        <v>0</v>
      </c>
      <c r="AN53">
        <f t="shared" si="59"/>
        <v>0</v>
      </c>
      <c r="AO53">
        <f t="shared" si="60"/>
        <v>0</v>
      </c>
      <c r="AP53">
        <f t="shared" si="61"/>
        <v>0</v>
      </c>
      <c r="AQ53">
        <f t="shared" si="62"/>
        <v>0</v>
      </c>
      <c r="AR53">
        <f t="shared" si="63"/>
        <v>0</v>
      </c>
      <c r="AS53">
        <f t="shared" si="64"/>
        <v>0</v>
      </c>
      <c r="AT53">
        <f t="shared" si="65"/>
        <v>0</v>
      </c>
      <c r="AU53">
        <f t="shared" si="66"/>
        <v>0</v>
      </c>
      <c r="AV53">
        <f t="shared" si="67"/>
        <v>0</v>
      </c>
      <c r="AW53">
        <f t="shared" si="68"/>
        <v>0</v>
      </c>
      <c r="AX53">
        <f t="shared" si="69"/>
        <v>0</v>
      </c>
      <c r="AY53">
        <f t="shared" si="70"/>
        <v>0</v>
      </c>
      <c r="AZ53">
        <f t="shared" si="71"/>
        <v>0</v>
      </c>
      <c r="BA53">
        <f t="shared" si="72"/>
        <v>0</v>
      </c>
      <c r="BB53">
        <f t="shared" si="73"/>
        <v>0</v>
      </c>
      <c r="BC53">
        <f t="shared" si="74"/>
        <v>0</v>
      </c>
      <c r="BD53">
        <f t="shared" si="75"/>
        <v>0</v>
      </c>
      <c r="BE53">
        <f t="shared" si="76"/>
        <v>0</v>
      </c>
      <c r="BF53">
        <f t="shared" si="77"/>
        <v>0</v>
      </c>
      <c r="BG53">
        <f t="shared" si="78"/>
        <v>0</v>
      </c>
      <c r="BH53">
        <f t="shared" si="79"/>
        <v>1</v>
      </c>
      <c r="BI53">
        <f t="shared" si="80"/>
        <v>0</v>
      </c>
      <c r="BJ53">
        <f t="shared" si="81"/>
        <v>0</v>
      </c>
      <c r="BK53">
        <f t="shared" si="82"/>
        <v>0</v>
      </c>
      <c r="BL53">
        <f t="shared" si="83"/>
        <v>0</v>
      </c>
      <c r="BM53">
        <f t="shared" si="84"/>
        <v>1</v>
      </c>
    </row>
    <row r="54" spans="1:65" ht="50">
      <c r="A54" s="19" t="s">
        <v>196</v>
      </c>
      <c r="B54" s="19" t="s">
        <v>367</v>
      </c>
      <c r="C54" s="19" t="s">
        <v>18</v>
      </c>
      <c r="D54" s="26" t="s">
        <v>331</v>
      </c>
      <c r="E54" s="21">
        <v>160000</v>
      </c>
      <c r="F54" s="19">
        <v>23</v>
      </c>
      <c r="G54" s="19">
        <v>26</v>
      </c>
      <c r="H54" s="19">
        <f t="shared" si="55"/>
        <v>4</v>
      </c>
      <c r="I54" s="19" t="s">
        <v>39</v>
      </c>
      <c r="J54" s="32" t="s">
        <v>198</v>
      </c>
      <c r="K54" s="33">
        <f t="shared" ref="K54:AJ54" si="100">IF(AND(K$79&gt;=$F54,K$79&lt;=$G54),AM54/$BM$54*$E54,0)</f>
        <v>0</v>
      </c>
      <c r="L54" s="33">
        <f t="shared" si="100"/>
        <v>0</v>
      </c>
      <c r="M54" s="33">
        <f t="shared" si="100"/>
        <v>0</v>
      </c>
      <c r="N54" s="33">
        <f t="shared" si="100"/>
        <v>0</v>
      </c>
      <c r="O54" s="33">
        <f t="shared" si="100"/>
        <v>0</v>
      </c>
      <c r="P54" s="33">
        <f t="shared" si="100"/>
        <v>0</v>
      </c>
      <c r="Q54" s="33">
        <f t="shared" si="100"/>
        <v>0</v>
      </c>
      <c r="R54" s="33">
        <f t="shared" si="100"/>
        <v>0</v>
      </c>
      <c r="S54" s="33">
        <f t="shared" si="100"/>
        <v>0</v>
      </c>
      <c r="T54" s="33">
        <f t="shared" si="100"/>
        <v>0</v>
      </c>
      <c r="U54" s="33">
        <f t="shared" si="100"/>
        <v>0</v>
      </c>
      <c r="V54" s="33">
        <f t="shared" si="100"/>
        <v>0</v>
      </c>
      <c r="W54" s="33">
        <f t="shared" si="100"/>
        <v>0</v>
      </c>
      <c r="X54" s="33">
        <f t="shared" si="100"/>
        <v>0</v>
      </c>
      <c r="Y54" s="33">
        <f t="shared" si="100"/>
        <v>0</v>
      </c>
      <c r="Z54" s="33">
        <f t="shared" si="100"/>
        <v>0</v>
      </c>
      <c r="AA54" s="33">
        <f t="shared" si="100"/>
        <v>0</v>
      </c>
      <c r="AB54" s="33">
        <f t="shared" si="100"/>
        <v>0</v>
      </c>
      <c r="AC54" s="33">
        <f t="shared" si="100"/>
        <v>0</v>
      </c>
      <c r="AD54" s="33">
        <f t="shared" si="100"/>
        <v>0</v>
      </c>
      <c r="AE54" s="33">
        <f t="shared" si="100"/>
        <v>0</v>
      </c>
      <c r="AF54" s="33">
        <f t="shared" si="100"/>
        <v>0</v>
      </c>
      <c r="AG54" s="33">
        <f t="shared" si="100"/>
        <v>26666.666666666664</v>
      </c>
      <c r="AH54" s="33">
        <f t="shared" si="100"/>
        <v>53333.333333333328</v>
      </c>
      <c r="AI54" s="33">
        <f t="shared" si="100"/>
        <v>53333.333333333328</v>
      </c>
      <c r="AJ54" s="33">
        <f t="shared" si="100"/>
        <v>26666.666666666664</v>
      </c>
      <c r="AK54" s="14">
        <f t="shared" si="57"/>
        <v>0</v>
      </c>
      <c r="AM54">
        <f t="shared" si="58"/>
        <v>0</v>
      </c>
      <c r="AN54">
        <f t="shared" si="59"/>
        <v>0</v>
      </c>
      <c r="AO54">
        <f t="shared" si="60"/>
        <v>0</v>
      </c>
      <c r="AP54">
        <f t="shared" si="61"/>
        <v>0</v>
      </c>
      <c r="AQ54">
        <f t="shared" si="62"/>
        <v>0</v>
      </c>
      <c r="AR54">
        <f t="shared" si="63"/>
        <v>0</v>
      </c>
      <c r="AS54">
        <f t="shared" si="64"/>
        <v>0</v>
      </c>
      <c r="AT54">
        <f t="shared" si="65"/>
        <v>0</v>
      </c>
      <c r="AU54">
        <f t="shared" si="66"/>
        <v>0</v>
      </c>
      <c r="AV54">
        <f t="shared" si="67"/>
        <v>0</v>
      </c>
      <c r="AW54">
        <f t="shared" si="68"/>
        <v>0</v>
      </c>
      <c r="AX54">
        <f t="shared" si="69"/>
        <v>0</v>
      </c>
      <c r="AY54">
        <f t="shared" si="70"/>
        <v>0</v>
      </c>
      <c r="AZ54">
        <f t="shared" si="71"/>
        <v>0</v>
      </c>
      <c r="BA54">
        <f t="shared" si="72"/>
        <v>0</v>
      </c>
      <c r="BB54">
        <f t="shared" si="73"/>
        <v>0</v>
      </c>
      <c r="BC54">
        <f t="shared" si="74"/>
        <v>0</v>
      </c>
      <c r="BD54">
        <f t="shared" si="75"/>
        <v>0</v>
      </c>
      <c r="BE54">
        <f t="shared" si="76"/>
        <v>0</v>
      </c>
      <c r="BF54">
        <f t="shared" si="77"/>
        <v>0</v>
      </c>
      <c r="BG54">
        <f t="shared" si="78"/>
        <v>0</v>
      </c>
      <c r="BH54">
        <f t="shared" si="79"/>
        <v>0</v>
      </c>
      <c r="BI54">
        <f t="shared" si="80"/>
        <v>1</v>
      </c>
      <c r="BJ54">
        <f t="shared" si="81"/>
        <v>2</v>
      </c>
      <c r="BK54">
        <f t="shared" si="82"/>
        <v>2</v>
      </c>
      <c r="BL54">
        <f t="shared" si="83"/>
        <v>1</v>
      </c>
      <c r="BM54">
        <f t="shared" si="84"/>
        <v>6</v>
      </c>
    </row>
    <row r="55" spans="1:65">
      <c r="A55" s="19" t="s">
        <v>199</v>
      </c>
      <c r="B55" s="19" t="s">
        <v>368</v>
      </c>
      <c r="C55" s="19" t="s">
        <v>18</v>
      </c>
      <c r="D55" s="25" t="s">
        <v>327</v>
      </c>
      <c r="E55" s="21">
        <v>4500</v>
      </c>
      <c r="F55" s="19">
        <v>23</v>
      </c>
      <c r="G55" s="19">
        <v>23</v>
      </c>
      <c r="H55" s="19">
        <f t="shared" si="55"/>
        <v>1</v>
      </c>
      <c r="I55" s="19" t="s">
        <v>39</v>
      </c>
      <c r="J55" s="32" t="s">
        <v>73</v>
      </c>
      <c r="K55" s="33">
        <f t="shared" ref="K55:T57" si="101">IF(AND(K$79&gt;=$F55,K$79&lt;=$G55),$E55/$H55,0)</f>
        <v>0</v>
      </c>
      <c r="L55" s="33">
        <f t="shared" si="101"/>
        <v>0</v>
      </c>
      <c r="M55" s="33">
        <f t="shared" si="101"/>
        <v>0</v>
      </c>
      <c r="N55" s="33">
        <f t="shared" si="101"/>
        <v>0</v>
      </c>
      <c r="O55" s="33">
        <f t="shared" si="101"/>
        <v>0</v>
      </c>
      <c r="P55" s="33">
        <f t="shared" si="101"/>
        <v>0</v>
      </c>
      <c r="Q55" s="33">
        <f t="shared" si="101"/>
        <v>0</v>
      </c>
      <c r="R55" s="33">
        <f t="shared" si="101"/>
        <v>0</v>
      </c>
      <c r="S55" s="33">
        <f t="shared" si="101"/>
        <v>0</v>
      </c>
      <c r="T55" s="33">
        <f t="shared" si="101"/>
        <v>0</v>
      </c>
      <c r="U55" s="33">
        <f t="shared" ref="U55:AD57" si="102">IF(AND(U$79&gt;=$F55,U$79&lt;=$G55),$E55/$H55,0)</f>
        <v>0</v>
      </c>
      <c r="V55" s="33">
        <f t="shared" si="102"/>
        <v>0</v>
      </c>
      <c r="W55" s="33">
        <f t="shared" si="102"/>
        <v>0</v>
      </c>
      <c r="X55" s="33">
        <f t="shared" si="102"/>
        <v>0</v>
      </c>
      <c r="Y55" s="33">
        <f t="shared" si="102"/>
        <v>0</v>
      </c>
      <c r="Z55" s="33">
        <f t="shared" si="102"/>
        <v>0</v>
      </c>
      <c r="AA55" s="33">
        <f t="shared" si="102"/>
        <v>0</v>
      </c>
      <c r="AB55" s="33">
        <f t="shared" si="102"/>
        <v>0</v>
      </c>
      <c r="AC55" s="33">
        <f t="shared" si="102"/>
        <v>0</v>
      </c>
      <c r="AD55" s="33">
        <f t="shared" si="102"/>
        <v>0</v>
      </c>
      <c r="AE55" s="33">
        <f t="shared" ref="AE55:AJ57" si="103">IF(AND(AE$79&gt;=$F55,AE$79&lt;=$G55),$E55/$H55,0)</f>
        <v>0</v>
      </c>
      <c r="AF55" s="33">
        <f t="shared" si="103"/>
        <v>0</v>
      </c>
      <c r="AG55" s="33">
        <f t="shared" si="103"/>
        <v>4500</v>
      </c>
      <c r="AH55" s="33">
        <f t="shared" si="103"/>
        <v>0</v>
      </c>
      <c r="AI55" s="33">
        <f t="shared" si="103"/>
        <v>0</v>
      </c>
      <c r="AJ55" s="33">
        <f t="shared" si="103"/>
        <v>0</v>
      </c>
      <c r="AK55" s="14">
        <f t="shared" si="57"/>
        <v>0</v>
      </c>
      <c r="AM55">
        <f t="shared" si="58"/>
        <v>0</v>
      </c>
      <c r="AN55">
        <f t="shared" si="59"/>
        <v>0</v>
      </c>
      <c r="AO55">
        <f t="shared" si="60"/>
        <v>0</v>
      </c>
      <c r="AP55">
        <f t="shared" si="61"/>
        <v>0</v>
      </c>
      <c r="AQ55">
        <f t="shared" si="62"/>
        <v>0</v>
      </c>
      <c r="AR55">
        <f t="shared" si="63"/>
        <v>0</v>
      </c>
      <c r="AS55">
        <f t="shared" si="64"/>
        <v>0</v>
      </c>
      <c r="AT55">
        <f t="shared" si="65"/>
        <v>0</v>
      </c>
      <c r="AU55">
        <f t="shared" si="66"/>
        <v>0</v>
      </c>
      <c r="AV55">
        <f t="shared" si="67"/>
        <v>0</v>
      </c>
      <c r="AW55">
        <f t="shared" si="68"/>
        <v>0</v>
      </c>
      <c r="AX55">
        <f t="shared" si="69"/>
        <v>0</v>
      </c>
      <c r="AY55">
        <f t="shared" si="70"/>
        <v>0</v>
      </c>
      <c r="AZ55">
        <f t="shared" si="71"/>
        <v>0</v>
      </c>
      <c r="BA55">
        <f t="shared" si="72"/>
        <v>0</v>
      </c>
      <c r="BB55">
        <f t="shared" si="73"/>
        <v>0</v>
      </c>
      <c r="BC55">
        <f t="shared" si="74"/>
        <v>0</v>
      </c>
      <c r="BD55">
        <f t="shared" si="75"/>
        <v>0</v>
      </c>
      <c r="BE55">
        <f t="shared" si="76"/>
        <v>0</v>
      </c>
      <c r="BF55">
        <f t="shared" si="77"/>
        <v>0</v>
      </c>
      <c r="BG55">
        <f t="shared" si="78"/>
        <v>0</v>
      </c>
      <c r="BH55">
        <f t="shared" si="79"/>
        <v>0</v>
      </c>
      <c r="BI55">
        <f t="shared" si="80"/>
        <v>1</v>
      </c>
      <c r="BJ55">
        <f t="shared" si="81"/>
        <v>0</v>
      </c>
      <c r="BK55">
        <f t="shared" si="82"/>
        <v>0</v>
      </c>
      <c r="BL55">
        <f t="shared" si="83"/>
        <v>0</v>
      </c>
      <c r="BM55">
        <f t="shared" si="84"/>
        <v>1</v>
      </c>
    </row>
    <row r="56" spans="1:65" ht="25">
      <c r="A56" s="19" t="s">
        <v>202</v>
      </c>
      <c r="B56" s="19" t="s">
        <v>369</v>
      </c>
      <c r="C56" s="19" t="s">
        <v>18</v>
      </c>
      <c r="D56" s="25" t="s">
        <v>327</v>
      </c>
      <c r="E56" s="21">
        <v>13500</v>
      </c>
      <c r="F56" s="19">
        <v>23</v>
      </c>
      <c r="G56" s="19">
        <v>23</v>
      </c>
      <c r="H56" s="19">
        <f t="shared" si="55"/>
        <v>1</v>
      </c>
      <c r="I56" s="19" t="s">
        <v>39</v>
      </c>
      <c r="J56" s="32" t="s">
        <v>204</v>
      </c>
      <c r="K56" s="33">
        <f t="shared" si="101"/>
        <v>0</v>
      </c>
      <c r="L56" s="33">
        <f t="shared" si="101"/>
        <v>0</v>
      </c>
      <c r="M56" s="33">
        <f t="shared" si="101"/>
        <v>0</v>
      </c>
      <c r="N56" s="33">
        <f t="shared" si="101"/>
        <v>0</v>
      </c>
      <c r="O56" s="33">
        <f t="shared" si="101"/>
        <v>0</v>
      </c>
      <c r="P56" s="33">
        <f t="shared" si="101"/>
        <v>0</v>
      </c>
      <c r="Q56" s="33">
        <f t="shared" si="101"/>
        <v>0</v>
      </c>
      <c r="R56" s="33">
        <f t="shared" si="101"/>
        <v>0</v>
      </c>
      <c r="S56" s="33">
        <f t="shared" si="101"/>
        <v>0</v>
      </c>
      <c r="T56" s="33">
        <f t="shared" si="101"/>
        <v>0</v>
      </c>
      <c r="U56" s="33">
        <f t="shared" si="102"/>
        <v>0</v>
      </c>
      <c r="V56" s="33">
        <f t="shared" si="102"/>
        <v>0</v>
      </c>
      <c r="W56" s="33">
        <f t="shared" si="102"/>
        <v>0</v>
      </c>
      <c r="X56" s="33">
        <f t="shared" si="102"/>
        <v>0</v>
      </c>
      <c r="Y56" s="33">
        <f t="shared" si="102"/>
        <v>0</v>
      </c>
      <c r="Z56" s="33">
        <f t="shared" si="102"/>
        <v>0</v>
      </c>
      <c r="AA56" s="33">
        <f t="shared" si="102"/>
        <v>0</v>
      </c>
      <c r="AB56" s="33">
        <f t="shared" si="102"/>
        <v>0</v>
      </c>
      <c r="AC56" s="33">
        <f t="shared" si="102"/>
        <v>0</v>
      </c>
      <c r="AD56" s="33">
        <f t="shared" si="102"/>
        <v>0</v>
      </c>
      <c r="AE56" s="33">
        <f t="shared" si="103"/>
        <v>0</v>
      </c>
      <c r="AF56" s="33">
        <f t="shared" si="103"/>
        <v>0</v>
      </c>
      <c r="AG56" s="33">
        <f t="shared" si="103"/>
        <v>13500</v>
      </c>
      <c r="AH56" s="33">
        <f t="shared" si="103"/>
        <v>0</v>
      </c>
      <c r="AI56" s="33">
        <f t="shared" si="103"/>
        <v>0</v>
      </c>
      <c r="AJ56" s="33">
        <f t="shared" si="103"/>
        <v>0</v>
      </c>
      <c r="AK56" s="14">
        <f t="shared" si="57"/>
        <v>0</v>
      </c>
      <c r="AM56">
        <f t="shared" si="58"/>
        <v>0</v>
      </c>
      <c r="AN56">
        <f t="shared" si="59"/>
        <v>0</v>
      </c>
      <c r="AO56">
        <f t="shared" si="60"/>
        <v>0</v>
      </c>
      <c r="AP56">
        <f t="shared" si="61"/>
        <v>0</v>
      </c>
      <c r="AQ56">
        <f t="shared" si="62"/>
        <v>0</v>
      </c>
      <c r="AR56">
        <f t="shared" si="63"/>
        <v>0</v>
      </c>
      <c r="AS56">
        <f t="shared" si="64"/>
        <v>0</v>
      </c>
      <c r="AT56">
        <f t="shared" si="65"/>
        <v>0</v>
      </c>
      <c r="AU56">
        <f t="shared" si="66"/>
        <v>0</v>
      </c>
      <c r="AV56">
        <f t="shared" si="67"/>
        <v>0</v>
      </c>
      <c r="AW56">
        <f t="shared" si="68"/>
        <v>0</v>
      </c>
      <c r="AX56">
        <f t="shared" si="69"/>
        <v>0</v>
      </c>
      <c r="AY56">
        <f t="shared" si="70"/>
        <v>0</v>
      </c>
      <c r="AZ56">
        <f t="shared" si="71"/>
        <v>0</v>
      </c>
      <c r="BA56">
        <f t="shared" si="72"/>
        <v>0</v>
      </c>
      <c r="BB56">
        <f t="shared" si="73"/>
        <v>0</v>
      </c>
      <c r="BC56">
        <f t="shared" si="74"/>
        <v>0</v>
      </c>
      <c r="BD56">
        <f t="shared" si="75"/>
        <v>0</v>
      </c>
      <c r="BE56">
        <f t="shared" si="76"/>
        <v>0</v>
      </c>
      <c r="BF56">
        <f t="shared" si="77"/>
        <v>0</v>
      </c>
      <c r="BG56">
        <f t="shared" si="78"/>
        <v>0</v>
      </c>
      <c r="BH56">
        <f t="shared" si="79"/>
        <v>0</v>
      </c>
      <c r="BI56">
        <f t="shared" si="80"/>
        <v>1</v>
      </c>
      <c r="BJ56">
        <f t="shared" si="81"/>
        <v>0</v>
      </c>
      <c r="BK56">
        <f t="shared" si="82"/>
        <v>0</v>
      </c>
      <c r="BL56">
        <f t="shared" si="83"/>
        <v>0</v>
      </c>
      <c r="BM56">
        <f t="shared" si="84"/>
        <v>1</v>
      </c>
    </row>
    <row r="57" spans="1:65" ht="25">
      <c r="A57" s="19" t="s">
        <v>205</v>
      </c>
      <c r="B57" s="19" t="s">
        <v>370</v>
      </c>
      <c r="C57" s="19" t="s">
        <v>18</v>
      </c>
      <c r="D57" s="25" t="s">
        <v>327</v>
      </c>
      <c r="E57" s="21">
        <v>72000</v>
      </c>
      <c r="F57" s="19">
        <v>24</v>
      </c>
      <c r="G57" s="19">
        <v>24</v>
      </c>
      <c r="H57" s="19">
        <f t="shared" si="55"/>
        <v>1</v>
      </c>
      <c r="I57" s="19" t="s">
        <v>39</v>
      </c>
      <c r="J57" s="32" t="s">
        <v>207</v>
      </c>
      <c r="K57" s="33">
        <f t="shared" si="101"/>
        <v>0</v>
      </c>
      <c r="L57" s="33">
        <f t="shared" si="101"/>
        <v>0</v>
      </c>
      <c r="M57" s="33">
        <f t="shared" si="101"/>
        <v>0</v>
      </c>
      <c r="N57" s="33">
        <f t="shared" si="101"/>
        <v>0</v>
      </c>
      <c r="O57" s="33">
        <f t="shared" si="101"/>
        <v>0</v>
      </c>
      <c r="P57" s="33">
        <f t="shared" si="101"/>
        <v>0</v>
      </c>
      <c r="Q57" s="33">
        <f t="shared" si="101"/>
        <v>0</v>
      </c>
      <c r="R57" s="33">
        <f t="shared" si="101"/>
        <v>0</v>
      </c>
      <c r="S57" s="33">
        <f t="shared" si="101"/>
        <v>0</v>
      </c>
      <c r="T57" s="33">
        <f t="shared" si="101"/>
        <v>0</v>
      </c>
      <c r="U57" s="33">
        <f t="shared" si="102"/>
        <v>0</v>
      </c>
      <c r="V57" s="33">
        <f t="shared" si="102"/>
        <v>0</v>
      </c>
      <c r="W57" s="33">
        <f t="shared" si="102"/>
        <v>0</v>
      </c>
      <c r="X57" s="33">
        <f t="shared" si="102"/>
        <v>0</v>
      </c>
      <c r="Y57" s="33">
        <f t="shared" si="102"/>
        <v>0</v>
      </c>
      <c r="Z57" s="33">
        <f t="shared" si="102"/>
        <v>0</v>
      </c>
      <c r="AA57" s="33">
        <f t="shared" si="102"/>
        <v>0</v>
      </c>
      <c r="AB57" s="33">
        <f t="shared" si="102"/>
        <v>0</v>
      </c>
      <c r="AC57" s="33">
        <f t="shared" si="102"/>
        <v>0</v>
      </c>
      <c r="AD57" s="33">
        <f t="shared" si="102"/>
        <v>0</v>
      </c>
      <c r="AE57" s="33">
        <f t="shared" si="103"/>
        <v>0</v>
      </c>
      <c r="AF57" s="33">
        <f t="shared" si="103"/>
        <v>0</v>
      </c>
      <c r="AG57" s="33">
        <f t="shared" si="103"/>
        <v>0</v>
      </c>
      <c r="AH57" s="33">
        <f t="shared" si="103"/>
        <v>72000</v>
      </c>
      <c r="AI57" s="33">
        <f t="shared" si="103"/>
        <v>0</v>
      </c>
      <c r="AJ57" s="33">
        <f t="shared" si="103"/>
        <v>0</v>
      </c>
      <c r="AK57" s="14">
        <f t="shared" si="57"/>
        <v>0</v>
      </c>
      <c r="AM57">
        <f t="shared" si="58"/>
        <v>0</v>
      </c>
      <c r="AN57">
        <f t="shared" si="59"/>
        <v>0</v>
      </c>
      <c r="AO57">
        <f t="shared" si="60"/>
        <v>0</v>
      </c>
      <c r="AP57">
        <f t="shared" si="61"/>
        <v>0</v>
      </c>
      <c r="AQ57">
        <f t="shared" si="62"/>
        <v>0</v>
      </c>
      <c r="AR57">
        <f t="shared" si="63"/>
        <v>0</v>
      </c>
      <c r="AS57">
        <f t="shared" si="64"/>
        <v>0</v>
      </c>
      <c r="AT57">
        <f t="shared" si="65"/>
        <v>0</v>
      </c>
      <c r="AU57">
        <f t="shared" si="66"/>
        <v>0</v>
      </c>
      <c r="AV57">
        <f t="shared" si="67"/>
        <v>0</v>
      </c>
      <c r="AW57">
        <f t="shared" si="68"/>
        <v>0</v>
      </c>
      <c r="AX57">
        <f t="shared" si="69"/>
        <v>0</v>
      </c>
      <c r="AY57">
        <f t="shared" si="70"/>
        <v>0</v>
      </c>
      <c r="AZ57">
        <f t="shared" si="71"/>
        <v>0</v>
      </c>
      <c r="BA57">
        <f t="shared" si="72"/>
        <v>0</v>
      </c>
      <c r="BB57">
        <f t="shared" si="73"/>
        <v>0</v>
      </c>
      <c r="BC57">
        <f t="shared" si="74"/>
        <v>0</v>
      </c>
      <c r="BD57">
        <f t="shared" si="75"/>
        <v>0</v>
      </c>
      <c r="BE57">
        <f t="shared" si="76"/>
        <v>0</v>
      </c>
      <c r="BF57">
        <f t="shared" si="77"/>
        <v>0</v>
      </c>
      <c r="BG57">
        <f t="shared" si="78"/>
        <v>0</v>
      </c>
      <c r="BH57">
        <f t="shared" si="79"/>
        <v>0</v>
      </c>
      <c r="BI57">
        <f t="shared" si="80"/>
        <v>0</v>
      </c>
      <c r="BJ57">
        <f t="shared" si="81"/>
        <v>1</v>
      </c>
      <c r="BK57">
        <f t="shared" si="82"/>
        <v>0</v>
      </c>
      <c r="BL57">
        <f t="shared" si="83"/>
        <v>0</v>
      </c>
      <c r="BM57">
        <f t="shared" si="84"/>
        <v>1</v>
      </c>
    </row>
    <row r="58" spans="1:65" ht="50">
      <c r="A58" s="19" t="s">
        <v>208</v>
      </c>
      <c r="B58" s="19" t="s">
        <v>371</v>
      </c>
      <c r="C58" s="19" t="s">
        <v>18</v>
      </c>
      <c r="D58" s="26" t="s">
        <v>331</v>
      </c>
      <c r="E58" s="21">
        <v>210000</v>
      </c>
      <c r="F58" s="19">
        <v>25</v>
      </c>
      <c r="G58" s="19">
        <v>26</v>
      </c>
      <c r="H58" s="19">
        <f t="shared" si="55"/>
        <v>2</v>
      </c>
      <c r="I58" s="19" t="s">
        <v>39</v>
      </c>
      <c r="J58" s="32" t="s">
        <v>210</v>
      </c>
      <c r="K58" s="33">
        <f t="shared" ref="K58:AJ58" si="104">IF(AND(K$79&gt;=$F58,K$79&lt;=$G58),AM58/$BM$58*$E58,0)</f>
        <v>0</v>
      </c>
      <c r="L58" s="33">
        <f t="shared" si="104"/>
        <v>0</v>
      </c>
      <c r="M58" s="33">
        <f t="shared" si="104"/>
        <v>0</v>
      </c>
      <c r="N58" s="33">
        <f t="shared" si="104"/>
        <v>0</v>
      </c>
      <c r="O58" s="33">
        <f t="shared" si="104"/>
        <v>0</v>
      </c>
      <c r="P58" s="33">
        <f t="shared" si="104"/>
        <v>0</v>
      </c>
      <c r="Q58" s="33">
        <f t="shared" si="104"/>
        <v>0</v>
      </c>
      <c r="R58" s="33">
        <f t="shared" si="104"/>
        <v>0</v>
      </c>
      <c r="S58" s="33">
        <f t="shared" si="104"/>
        <v>0</v>
      </c>
      <c r="T58" s="33">
        <f t="shared" si="104"/>
        <v>0</v>
      </c>
      <c r="U58" s="33">
        <f t="shared" si="104"/>
        <v>0</v>
      </c>
      <c r="V58" s="33">
        <f t="shared" si="104"/>
        <v>0</v>
      </c>
      <c r="W58" s="33">
        <f t="shared" si="104"/>
        <v>0</v>
      </c>
      <c r="X58" s="33">
        <f t="shared" si="104"/>
        <v>0</v>
      </c>
      <c r="Y58" s="33">
        <f t="shared" si="104"/>
        <v>0</v>
      </c>
      <c r="Z58" s="33">
        <f t="shared" si="104"/>
        <v>0</v>
      </c>
      <c r="AA58" s="33">
        <f t="shared" si="104"/>
        <v>0</v>
      </c>
      <c r="AB58" s="33">
        <f t="shared" si="104"/>
        <v>0</v>
      </c>
      <c r="AC58" s="33">
        <f t="shared" si="104"/>
        <v>0</v>
      </c>
      <c r="AD58" s="33">
        <f t="shared" si="104"/>
        <v>0</v>
      </c>
      <c r="AE58" s="33">
        <f t="shared" si="104"/>
        <v>0</v>
      </c>
      <c r="AF58" s="33">
        <f t="shared" si="104"/>
        <v>0</v>
      </c>
      <c r="AG58" s="33">
        <f t="shared" si="104"/>
        <v>0</v>
      </c>
      <c r="AH58" s="33">
        <f t="shared" si="104"/>
        <v>0</v>
      </c>
      <c r="AI58" s="33">
        <f t="shared" si="104"/>
        <v>105000</v>
      </c>
      <c r="AJ58" s="33">
        <f t="shared" si="104"/>
        <v>105000</v>
      </c>
      <c r="AK58" s="14">
        <f t="shared" si="57"/>
        <v>0</v>
      </c>
      <c r="AM58">
        <f t="shared" si="58"/>
        <v>0</v>
      </c>
      <c r="AN58">
        <f t="shared" si="59"/>
        <v>0</v>
      </c>
      <c r="AO58">
        <f t="shared" si="60"/>
        <v>0</v>
      </c>
      <c r="AP58">
        <f t="shared" si="61"/>
        <v>0</v>
      </c>
      <c r="AQ58">
        <f t="shared" si="62"/>
        <v>0</v>
      </c>
      <c r="AR58">
        <f t="shared" si="63"/>
        <v>0</v>
      </c>
      <c r="AS58">
        <f t="shared" si="64"/>
        <v>0</v>
      </c>
      <c r="AT58">
        <f t="shared" si="65"/>
        <v>0</v>
      </c>
      <c r="AU58">
        <f t="shared" si="66"/>
        <v>0</v>
      </c>
      <c r="AV58">
        <f t="shared" si="67"/>
        <v>0</v>
      </c>
      <c r="AW58">
        <f t="shared" si="68"/>
        <v>0</v>
      </c>
      <c r="AX58">
        <f t="shared" si="69"/>
        <v>0</v>
      </c>
      <c r="AY58">
        <f t="shared" si="70"/>
        <v>0</v>
      </c>
      <c r="AZ58">
        <f t="shared" si="71"/>
        <v>0</v>
      </c>
      <c r="BA58">
        <f t="shared" si="72"/>
        <v>0</v>
      </c>
      <c r="BB58">
        <f t="shared" si="73"/>
        <v>0</v>
      </c>
      <c r="BC58">
        <f t="shared" si="74"/>
        <v>0</v>
      </c>
      <c r="BD58">
        <f t="shared" si="75"/>
        <v>0</v>
      </c>
      <c r="BE58">
        <f t="shared" si="76"/>
        <v>0</v>
      </c>
      <c r="BF58">
        <f t="shared" si="77"/>
        <v>0</v>
      </c>
      <c r="BG58">
        <f t="shared" si="78"/>
        <v>0</v>
      </c>
      <c r="BH58">
        <f t="shared" si="79"/>
        <v>0</v>
      </c>
      <c r="BI58">
        <f t="shared" si="80"/>
        <v>0</v>
      </c>
      <c r="BJ58">
        <f t="shared" si="81"/>
        <v>0</v>
      </c>
      <c r="BK58">
        <f t="shared" si="82"/>
        <v>1</v>
      </c>
      <c r="BL58">
        <f t="shared" si="83"/>
        <v>1</v>
      </c>
      <c r="BM58">
        <f t="shared" si="84"/>
        <v>2</v>
      </c>
    </row>
    <row r="59" spans="1:65" ht="25">
      <c r="A59" s="19" t="s">
        <v>213</v>
      </c>
      <c r="B59" s="19" t="s">
        <v>372</v>
      </c>
      <c r="C59" s="19" t="s">
        <v>19</v>
      </c>
      <c r="D59" s="25" t="s">
        <v>327</v>
      </c>
      <c r="E59" s="21">
        <v>102000</v>
      </c>
      <c r="F59" s="19">
        <v>11</v>
      </c>
      <c r="G59" s="19">
        <v>11</v>
      </c>
      <c r="H59" s="19">
        <f t="shared" si="55"/>
        <v>1</v>
      </c>
      <c r="I59" s="19" t="s">
        <v>39</v>
      </c>
      <c r="J59" s="32" t="s">
        <v>100</v>
      </c>
      <c r="K59" s="33">
        <f t="shared" ref="K59:T61" si="105">IF(AND(K$79&gt;=$F59,K$79&lt;=$G59),$E59/$H59,0)</f>
        <v>0</v>
      </c>
      <c r="L59" s="33">
        <f t="shared" si="105"/>
        <v>0</v>
      </c>
      <c r="M59" s="33">
        <f t="shared" si="105"/>
        <v>0</v>
      </c>
      <c r="N59" s="33">
        <f t="shared" si="105"/>
        <v>0</v>
      </c>
      <c r="O59" s="33">
        <f t="shared" si="105"/>
        <v>0</v>
      </c>
      <c r="P59" s="33">
        <f t="shared" si="105"/>
        <v>0</v>
      </c>
      <c r="Q59" s="33">
        <f t="shared" si="105"/>
        <v>0</v>
      </c>
      <c r="R59" s="33">
        <f t="shared" si="105"/>
        <v>0</v>
      </c>
      <c r="S59" s="33">
        <f t="shared" si="105"/>
        <v>0</v>
      </c>
      <c r="T59" s="33">
        <f t="shared" si="105"/>
        <v>0</v>
      </c>
      <c r="U59" s="33">
        <f t="shared" ref="U59:AD61" si="106">IF(AND(U$79&gt;=$F59,U$79&lt;=$G59),$E59/$H59,0)</f>
        <v>102000</v>
      </c>
      <c r="V59" s="33">
        <f t="shared" si="106"/>
        <v>0</v>
      </c>
      <c r="W59" s="33">
        <f t="shared" si="106"/>
        <v>0</v>
      </c>
      <c r="X59" s="33">
        <f t="shared" si="106"/>
        <v>0</v>
      </c>
      <c r="Y59" s="33">
        <f t="shared" si="106"/>
        <v>0</v>
      </c>
      <c r="Z59" s="33">
        <f t="shared" si="106"/>
        <v>0</v>
      </c>
      <c r="AA59" s="33">
        <f t="shared" si="106"/>
        <v>0</v>
      </c>
      <c r="AB59" s="33">
        <f t="shared" si="106"/>
        <v>0</v>
      </c>
      <c r="AC59" s="33">
        <f t="shared" si="106"/>
        <v>0</v>
      </c>
      <c r="AD59" s="33">
        <f t="shared" si="106"/>
        <v>0</v>
      </c>
      <c r="AE59" s="33">
        <f t="shared" ref="AE59:AJ61" si="107">IF(AND(AE$79&gt;=$F59,AE$79&lt;=$G59),$E59/$H59,0)</f>
        <v>0</v>
      </c>
      <c r="AF59" s="33">
        <f t="shared" si="107"/>
        <v>0</v>
      </c>
      <c r="AG59" s="33">
        <f t="shared" si="107"/>
        <v>0</v>
      </c>
      <c r="AH59" s="33">
        <f t="shared" si="107"/>
        <v>0</v>
      </c>
      <c r="AI59" s="33">
        <f t="shared" si="107"/>
        <v>0</v>
      </c>
      <c r="AJ59" s="33">
        <f t="shared" si="107"/>
        <v>0</v>
      </c>
      <c r="AK59" s="14">
        <f t="shared" si="57"/>
        <v>0</v>
      </c>
      <c r="AM59">
        <f t="shared" si="58"/>
        <v>0</v>
      </c>
      <c r="AN59">
        <f t="shared" si="59"/>
        <v>0</v>
      </c>
      <c r="AO59">
        <f t="shared" si="60"/>
        <v>0</v>
      </c>
      <c r="AP59">
        <f t="shared" si="61"/>
        <v>0</v>
      </c>
      <c r="AQ59">
        <f t="shared" si="62"/>
        <v>0</v>
      </c>
      <c r="AR59">
        <f t="shared" si="63"/>
        <v>0</v>
      </c>
      <c r="AS59">
        <f t="shared" si="64"/>
        <v>0</v>
      </c>
      <c r="AT59">
        <f t="shared" si="65"/>
        <v>0</v>
      </c>
      <c r="AU59">
        <f t="shared" si="66"/>
        <v>0</v>
      </c>
      <c r="AV59">
        <f t="shared" si="67"/>
        <v>0</v>
      </c>
      <c r="AW59">
        <f t="shared" si="68"/>
        <v>1</v>
      </c>
      <c r="AX59">
        <f t="shared" si="69"/>
        <v>0</v>
      </c>
      <c r="AY59">
        <f t="shared" si="70"/>
        <v>0</v>
      </c>
      <c r="AZ59">
        <f t="shared" si="71"/>
        <v>0</v>
      </c>
      <c r="BA59">
        <f t="shared" si="72"/>
        <v>0</v>
      </c>
      <c r="BB59">
        <f t="shared" si="73"/>
        <v>0</v>
      </c>
      <c r="BC59">
        <f t="shared" si="74"/>
        <v>0</v>
      </c>
      <c r="BD59">
        <f t="shared" si="75"/>
        <v>0</v>
      </c>
      <c r="BE59">
        <f t="shared" si="76"/>
        <v>0</v>
      </c>
      <c r="BF59">
        <f t="shared" si="77"/>
        <v>0</v>
      </c>
      <c r="BG59">
        <f t="shared" si="78"/>
        <v>0</v>
      </c>
      <c r="BH59">
        <f t="shared" si="79"/>
        <v>0</v>
      </c>
      <c r="BI59">
        <f t="shared" si="80"/>
        <v>0</v>
      </c>
      <c r="BJ59">
        <f t="shared" si="81"/>
        <v>0</v>
      </c>
      <c r="BK59">
        <f t="shared" si="82"/>
        <v>0</v>
      </c>
      <c r="BL59">
        <f t="shared" si="83"/>
        <v>0</v>
      </c>
      <c r="BM59">
        <f t="shared" si="84"/>
        <v>1</v>
      </c>
    </row>
    <row r="60" spans="1:65" ht="25">
      <c r="A60" s="19" t="s">
        <v>216</v>
      </c>
      <c r="B60" s="19" t="s">
        <v>373</v>
      </c>
      <c r="C60" s="19" t="s">
        <v>19</v>
      </c>
      <c r="D60" s="25" t="s">
        <v>327</v>
      </c>
      <c r="E60" s="21">
        <v>306000</v>
      </c>
      <c r="F60" s="19">
        <v>11</v>
      </c>
      <c r="G60" s="19">
        <v>11</v>
      </c>
      <c r="H60" s="19">
        <f t="shared" si="55"/>
        <v>1</v>
      </c>
      <c r="I60" s="19" t="s">
        <v>39</v>
      </c>
      <c r="J60" s="32" t="s">
        <v>218</v>
      </c>
      <c r="K60" s="33">
        <f t="shared" si="105"/>
        <v>0</v>
      </c>
      <c r="L60" s="33">
        <f t="shared" si="105"/>
        <v>0</v>
      </c>
      <c r="M60" s="33">
        <f t="shared" si="105"/>
        <v>0</v>
      </c>
      <c r="N60" s="33">
        <f t="shared" si="105"/>
        <v>0</v>
      </c>
      <c r="O60" s="33">
        <f t="shared" si="105"/>
        <v>0</v>
      </c>
      <c r="P60" s="33">
        <f t="shared" si="105"/>
        <v>0</v>
      </c>
      <c r="Q60" s="33">
        <f t="shared" si="105"/>
        <v>0</v>
      </c>
      <c r="R60" s="33">
        <f t="shared" si="105"/>
        <v>0</v>
      </c>
      <c r="S60" s="33">
        <f t="shared" si="105"/>
        <v>0</v>
      </c>
      <c r="T60" s="33">
        <f t="shared" si="105"/>
        <v>0</v>
      </c>
      <c r="U60" s="33">
        <f t="shared" si="106"/>
        <v>306000</v>
      </c>
      <c r="V60" s="33">
        <f t="shared" si="106"/>
        <v>0</v>
      </c>
      <c r="W60" s="33">
        <f t="shared" si="106"/>
        <v>0</v>
      </c>
      <c r="X60" s="33">
        <f t="shared" si="106"/>
        <v>0</v>
      </c>
      <c r="Y60" s="33">
        <f t="shared" si="106"/>
        <v>0</v>
      </c>
      <c r="Z60" s="33">
        <f t="shared" si="106"/>
        <v>0</v>
      </c>
      <c r="AA60" s="33">
        <f t="shared" si="106"/>
        <v>0</v>
      </c>
      <c r="AB60" s="33">
        <f t="shared" si="106"/>
        <v>0</v>
      </c>
      <c r="AC60" s="33">
        <f t="shared" si="106"/>
        <v>0</v>
      </c>
      <c r="AD60" s="33">
        <f t="shared" si="106"/>
        <v>0</v>
      </c>
      <c r="AE60" s="33">
        <f t="shared" si="107"/>
        <v>0</v>
      </c>
      <c r="AF60" s="33">
        <f t="shared" si="107"/>
        <v>0</v>
      </c>
      <c r="AG60" s="33">
        <f t="shared" si="107"/>
        <v>0</v>
      </c>
      <c r="AH60" s="33">
        <f t="shared" si="107"/>
        <v>0</v>
      </c>
      <c r="AI60" s="33">
        <f t="shared" si="107"/>
        <v>0</v>
      </c>
      <c r="AJ60" s="33">
        <f t="shared" si="107"/>
        <v>0</v>
      </c>
      <c r="AK60" s="14">
        <f t="shared" si="57"/>
        <v>0</v>
      </c>
      <c r="AM60">
        <f t="shared" si="58"/>
        <v>0</v>
      </c>
      <c r="AN60">
        <f t="shared" si="59"/>
        <v>0</v>
      </c>
      <c r="AO60">
        <f t="shared" si="60"/>
        <v>0</v>
      </c>
      <c r="AP60">
        <f t="shared" si="61"/>
        <v>0</v>
      </c>
      <c r="AQ60">
        <f t="shared" si="62"/>
        <v>0</v>
      </c>
      <c r="AR60">
        <f t="shared" si="63"/>
        <v>0</v>
      </c>
      <c r="AS60">
        <f t="shared" si="64"/>
        <v>0</v>
      </c>
      <c r="AT60">
        <f t="shared" si="65"/>
        <v>0</v>
      </c>
      <c r="AU60">
        <f t="shared" si="66"/>
        <v>0</v>
      </c>
      <c r="AV60">
        <f t="shared" si="67"/>
        <v>0</v>
      </c>
      <c r="AW60">
        <f t="shared" si="68"/>
        <v>1</v>
      </c>
      <c r="AX60">
        <f t="shared" si="69"/>
        <v>0</v>
      </c>
      <c r="AY60">
        <f t="shared" si="70"/>
        <v>0</v>
      </c>
      <c r="AZ60">
        <f t="shared" si="71"/>
        <v>0</v>
      </c>
      <c r="BA60">
        <f t="shared" si="72"/>
        <v>0</v>
      </c>
      <c r="BB60">
        <f t="shared" si="73"/>
        <v>0</v>
      </c>
      <c r="BC60">
        <f t="shared" si="74"/>
        <v>0</v>
      </c>
      <c r="BD60">
        <f t="shared" si="75"/>
        <v>0</v>
      </c>
      <c r="BE60">
        <f t="shared" si="76"/>
        <v>0</v>
      </c>
      <c r="BF60">
        <f t="shared" si="77"/>
        <v>0</v>
      </c>
      <c r="BG60">
        <f t="shared" si="78"/>
        <v>0</v>
      </c>
      <c r="BH60">
        <f t="shared" si="79"/>
        <v>0</v>
      </c>
      <c r="BI60">
        <f t="shared" si="80"/>
        <v>0</v>
      </c>
      <c r="BJ60">
        <f t="shared" si="81"/>
        <v>0</v>
      </c>
      <c r="BK60">
        <f t="shared" si="82"/>
        <v>0</v>
      </c>
      <c r="BL60">
        <f t="shared" si="83"/>
        <v>0</v>
      </c>
      <c r="BM60">
        <f t="shared" si="84"/>
        <v>1</v>
      </c>
    </row>
    <row r="61" spans="1:65" ht="25">
      <c r="A61" s="19" t="s">
        <v>219</v>
      </c>
      <c r="B61" s="19" t="s">
        <v>374</v>
      </c>
      <c r="C61" s="19" t="s">
        <v>19</v>
      </c>
      <c r="D61" s="25" t="s">
        <v>327</v>
      </c>
      <c r="E61" s="21">
        <v>1632000</v>
      </c>
      <c r="F61" s="19">
        <v>12</v>
      </c>
      <c r="G61" s="19">
        <v>12</v>
      </c>
      <c r="H61" s="19">
        <f t="shared" si="55"/>
        <v>1</v>
      </c>
      <c r="I61" s="19" t="s">
        <v>39</v>
      </c>
      <c r="J61" s="32" t="s">
        <v>221</v>
      </c>
      <c r="K61" s="33">
        <f t="shared" si="105"/>
        <v>0</v>
      </c>
      <c r="L61" s="33">
        <f t="shared" si="105"/>
        <v>0</v>
      </c>
      <c r="M61" s="33">
        <f t="shared" si="105"/>
        <v>0</v>
      </c>
      <c r="N61" s="33">
        <f t="shared" si="105"/>
        <v>0</v>
      </c>
      <c r="O61" s="33">
        <f t="shared" si="105"/>
        <v>0</v>
      </c>
      <c r="P61" s="33">
        <f t="shared" si="105"/>
        <v>0</v>
      </c>
      <c r="Q61" s="33">
        <f t="shared" si="105"/>
        <v>0</v>
      </c>
      <c r="R61" s="33">
        <f t="shared" si="105"/>
        <v>0</v>
      </c>
      <c r="S61" s="33">
        <f t="shared" si="105"/>
        <v>0</v>
      </c>
      <c r="T61" s="33">
        <f t="shared" si="105"/>
        <v>0</v>
      </c>
      <c r="U61" s="33">
        <f t="shared" si="106"/>
        <v>0</v>
      </c>
      <c r="V61" s="33">
        <f t="shared" si="106"/>
        <v>1632000</v>
      </c>
      <c r="W61" s="33">
        <f t="shared" si="106"/>
        <v>0</v>
      </c>
      <c r="X61" s="33">
        <f t="shared" si="106"/>
        <v>0</v>
      </c>
      <c r="Y61" s="33">
        <f t="shared" si="106"/>
        <v>0</v>
      </c>
      <c r="Z61" s="33">
        <f t="shared" si="106"/>
        <v>0</v>
      </c>
      <c r="AA61" s="33">
        <f t="shared" si="106"/>
        <v>0</v>
      </c>
      <c r="AB61" s="33">
        <f t="shared" si="106"/>
        <v>0</v>
      </c>
      <c r="AC61" s="33">
        <f t="shared" si="106"/>
        <v>0</v>
      </c>
      <c r="AD61" s="33">
        <f t="shared" si="106"/>
        <v>0</v>
      </c>
      <c r="AE61" s="33">
        <f t="shared" si="107"/>
        <v>0</v>
      </c>
      <c r="AF61" s="33">
        <f t="shared" si="107"/>
        <v>0</v>
      </c>
      <c r="AG61" s="33">
        <f t="shared" si="107"/>
        <v>0</v>
      </c>
      <c r="AH61" s="33">
        <f t="shared" si="107"/>
        <v>0</v>
      </c>
      <c r="AI61" s="33">
        <f t="shared" si="107"/>
        <v>0</v>
      </c>
      <c r="AJ61" s="33">
        <f t="shared" si="107"/>
        <v>0</v>
      </c>
      <c r="AK61" s="14">
        <f t="shared" si="57"/>
        <v>0</v>
      </c>
      <c r="AM61">
        <f t="shared" si="58"/>
        <v>0</v>
      </c>
      <c r="AN61">
        <f t="shared" si="59"/>
        <v>0</v>
      </c>
      <c r="AO61">
        <f t="shared" si="60"/>
        <v>0</v>
      </c>
      <c r="AP61">
        <f t="shared" si="61"/>
        <v>0</v>
      </c>
      <c r="AQ61">
        <f t="shared" si="62"/>
        <v>0</v>
      </c>
      <c r="AR61">
        <f t="shared" si="63"/>
        <v>0</v>
      </c>
      <c r="AS61">
        <f t="shared" si="64"/>
        <v>0</v>
      </c>
      <c r="AT61">
        <f t="shared" si="65"/>
        <v>0</v>
      </c>
      <c r="AU61">
        <f t="shared" si="66"/>
        <v>0</v>
      </c>
      <c r="AV61">
        <f t="shared" si="67"/>
        <v>0</v>
      </c>
      <c r="AW61">
        <f t="shared" si="68"/>
        <v>0</v>
      </c>
      <c r="AX61">
        <f t="shared" si="69"/>
        <v>1</v>
      </c>
      <c r="AY61">
        <f t="shared" si="70"/>
        <v>0</v>
      </c>
      <c r="AZ61">
        <f t="shared" si="71"/>
        <v>0</v>
      </c>
      <c r="BA61">
        <f t="shared" si="72"/>
        <v>0</v>
      </c>
      <c r="BB61">
        <f t="shared" si="73"/>
        <v>0</v>
      </c>
      <c r="BC61">
        <f t="shared" si="74"/>
        <v>0</v>
      </c>
      <c r="BD61">
        <f t="shared" si="75"/>
        <v>0</v>
      </c>
      <c r="BE61">
        <f t="shared" si="76"/>
        <v>0</v>
      </c>
      <c r="BF61">
        <f t="shared" si="77"/>
        <v>0</v>
      </c>
      <c r="BG61">
        <f t="shared" si="78"/>
        <v>0</v>
      </c>
      <c r="BH61">
        <f t="shared" si="79"/>
        <v>0</v>
      </c>
      <c r="BI61">
        <f t="shared" si="80"/>
        <v>0</v>
      </c>
      <c r="BJ61">
        <f t="shared" si="81"/>
        <v>0</v>
      </c>
      <c r="BK61">
        <f t="shared" si="82"/>
        <v>0</v>
      </c>
      <c r="BL61">
        <f t="shared" si="83"/>
        <v>0</v>
      </c>
      <c r="BM61">
        <f t="shared" si="84"/>
        <v>1</v>
      </c>
    </row>
    <row r="62" spans="1:65" ht="37.5">
      <c r="A62" s="19" t="s">
        <v>222</v>
      </c>
      <c r="B62" s="19" t="s">
        <v>375</v>
      </c>
      <c r="C62" s="19" t="s">
        <v>19</v>
      </c>
      <c r="D62" s="26" t="s">
        <v>331</v>
      </c>
      <c r="E62" s="21">
        <v>8160000</v>
      </c>
      <c r="F62" s="19">
        <v>13</v>
      </c>
      <c r="G62" s="19">
        <v>25</v>
      </c>
      <c r="H62" s="19">
        <f t="shared" si="55"/>
        <v>13</v>
      </c>
      <c r="I62" s="19" t="s">
        <v>39</v>
      </c>
      <c r="J62" s="32" t="s">
        <v>224</v>
      </c>
      <c r="K62" s="33">
        <f t="shared" ref="K62:AJ62" si="108">IF(AND(K$79&gt;=$F62,K$79&lt;=$G62),AM62/$BM$62*$E62,0)</f>
        <v>0</v>
      </c>
      <c r="L62" s="33">
        <f t="shared" si="108"/>
        <v>0</v>
      </c>
      <c r="M62" s="33">
        <f t="shared" si="108"/>
        <v>0</v>
      </c>
      <c r="N62" s="33">
        <f t="shared" si="108"/>
        <v>0</v>
      </c>
      <c r="O62" s="33">
        <f t="shared" si="108"/>
        <v>0</v>
      </c>
      <c r="P62" s="33">
        <f t="shared" si="108"/>
        <v>0</v>
      </c>
      <c r="Q62" s="33">
        <f t="shared" si="108"/>
        <v>0</v>
      </c>
      <c r="R62" s="33">
        <f t="shared" si="108"/>
        <v>0</v>
      </c>
      <c r="S62" s="33">
        <f t="shared" si="108"/>
        <v>0</v>
      </c>
      <c r="T62" s="33">
        <f t="shared" si="108"/>
        <v>0</v>
      </c>
      <c r="U62" s="33">
        <f t="shared" si="108"/>
        <v>0</v>
      </c>
      <c r="V62" s="33">
        <f t="shared" si="108"/>
        <v>0</v>
      </c>
      <c r="W62" s="33">
        <f t="shared" si="108"/>
        <v>166530.61224489796</v>
      </c>
      <c r="X62" s="33">
        <f t="shared" si="108"/>
        <v>333061.22448979592</v>
      </c>
      <c r="Y62" s="33">
        <f t="shared" si="108"/>
        <v>499591.83673469385</v>
      </c>
      <c r="Z62" s="33">
        <f t="shared" si="108"/>
        <v>666122.44897959183</v>
      </c>
      <c r="AA62" s="33">
        <f t="shared" si="108"/>
        <v>832653.06122448982</v>
      </c>
      <c r="AB62" s="33">
        <f t="shared" si="108"/>
        <v>999183.67346938769</v>
      </c>
      <c r="AC62" s="33">
        <f t="shared" si="108"/>
        <v>1165714.2857142857</v>
      </c>
      <c r="AD62" s="33">
        <f t="shared" si="108"/>
        <v>999183.67346938769</v>
      </c>
      <c r="AE62" s="33">
        <f t="shared" si="108"/>
        <v>832653.06122448982</v>
      </c>
      <c r="AF62" s="33">
        <f t="shared" si="108"/>
        <v>666122.44897959183</v>
      </c>
      <c r="AG62" s="33">
        <f t="shared" si="108"/>
        <v>499591.83673469385</v>
      </c>
      <c r="AH62" s="33">
        <f t="shared" si="108"/>
        <v>333061.22448979592</v>
      </c>
      <c r="AI62" s="33">
        <f t="shared" si="108"/>
        <v>166530.61224489796</v>
      </c>
      <c r="AJ62" s="33">
        <f t="shared" si="108"/>
        <v>0</v>
      </c>
      <c r="AK62" s="14">
        <f t="shared" si="57"/>
        <v>0</v>
      </c>
      <c r="AM62">
        <f t="shared" si="58"/>
        <v>0</v>
      </c>
      <c r="AN62">
        <f t="shared" si="59"/>
        <v>0</v>
      </c>
      <c r="AO62">
        <f t="shared" si="60"/>
        <v>0</v>
      </c>
      <c r="AP62">
        <f t="shared" si="61"/>
        <v>0</v>
      </c>
      <c r="AQ62">
        <f t="shared" si="62"/>
        <v>0</v>
      </c>
      <c r="AR62">
        <f t="shared" si="63"/>
        <v>0</v>
      </c>
      <c r="AS62">
        <f t="shared" si="64"/>
        <v>0</v>
      </c>
      <c r="AT62">
        <f t="shared" si="65"/>
        <v>0</v>
      </c>
      <c r="AU62">
        <f t="shared" si="66"/>
        <v>0</v>
      </c>
      <c r="AV62">
        <f t="shared" si="67"/>
        <v>0</v>
      </c>
      <c r="AW62">
        <f t="shared" si="68"/>
        <v>0</v>
      </c>
      <c r="AX62">
        <f t="shared" si="69"/>
        <v>0</v>
      </c>
      <c r="AY62">
        <f t="shared" si="70"/>
        <v>1</v>
      </c>
      <c r="AZ62">
        <f t="shared" si="71"/>
        <v>2</v>
      </c>
      <c r="BA62">
        <f t="shared" si="72"/>
        <v>3</v>
      </c>
      <c r="BB62">
        <f t="shared" si="73"/>
        <v>4</v>
      </c>
      <c r="BC62">
        <f t="shared" si="74"/>
        <v>5</v>
      </c>
      <c r="BD62">
        <f t="shared" si="75"/>
        <v>6</v>
      </c>
      <c r="BE62">
        <f t="shared" si="76"/>
        <v>7</v>
      </c>
      <c r="BF62">
        <f t="shared" si="77"/>
        <v>6</v>
      </c>
      <c r="BG62">
        <f t="shared" si="78"/>
        <v>5</v>
      </c>
      <c r="BH62">
        <f t="shared" si="79"/>
        <v>4</v>
      </c>
      <c r="BI62">
        <f t="shared" si="80"/>
        <v>3</v>
      </c>
      <c r="BJ62">
        <f t="shared" si="81"/>
        <v>2</v>
      </c>
      <c r="BK62">
        <f t="shared" si="82"/>
        <v>1</v>
      </c>
      <c r="BL62">
        <f t="shared" si="83"/>
        <v>0</v>
      </c>
      <c r="BM62">
        <f t="shared" si="84"/>
        <v>49</v>
      </c>
    </row>
    <row r="63" spans="1:65">
      <c r="A63" s="19" t="s">
        <v>225</v>
      </c>
      <c r="B63" s="19" t="s">
        <v>376</v>
      </c>
      <c r="C63" s="19" t="s">
        <v>18</v>
      </c>
      <c r="D63" s="25" t="s">
        <v>327</v>
      </c>
      <c r="E63" s="21">
        <v>335250</v>
      </c>
      <c r="F63" s="19">
        <v>7</v>
      </c>
      <c r="G63" s="19">
        <v>7</v>
      </c>
      <c r="H63" s="19">
        <f t="shared" si="55"/>
        <v>1</v>
      </c>
      <c r="I63" s="27" t="s">
        <v>115</v>
      </c>
      <c r="J63" s="32" t="s">
        <v>73</v>
      </c>
      <c r="K63" s="33">
        <f t="shared" ref="K63:T65" si="109">IF(AND(K$79&gt;=$F63,K$79&lt;=$G63),$E63/$H63,0)</f>
        <v>0</v>
      </c>
      <c r="L63" s="33">
        <f t="shared" si="109"/>
        <v>0</v>
      </c>
      <c r="M63" s="33">
        <f t="shared" si="109"/>
        <v>0</v>
      </c>
      <c r="N63" s="33">
        <f t="shared" si="109"/>
        <v>0</v>
      </c>
      <c r="O63" s="33">
        <f t="shared" si="109"/>
        <v>0</v>
      </c>
      <c r="P63" s="33">
        <f t="shared" si="109"/>
        <v>0</v>
      </c>
      <c r="Q63" s="33">
        <f t="shared" si="109"/>
        <v>335250</v>
      </c>
      <c r="R63" s="33">
        <f t="shared" si="109"/>
        <v>0</v>
      </c>
      <c r="S63" s="33">
        <f t="shared" si="109"/>
        <v>0</v>
      </c>
      <c r="T63" s="33">
        <f t="shared" si="109"/>
        <v>0</v>
      </c>
      <c r="U63" s="33">
        <f t="shared" ref="U63:AD65" si="110">IF(AND(U$79&gt;=$F63,U$79&lt;=$G63),$E63/$H63,0)</f>
        <v>0</v>
      </c>
      <c r="V63" s="33">
        <f t="shared" si="110"/>
        <v>0</v>
      </c>
      <c r="W63" s="33">
        <f t="shared" si="110"/>
        <v>0</v>
      </c>
      <c r="X63" s="33">
        <f t="shared" si="110"/>
        <v>0</v>
      </c>
      <c r="Y63" s="33">
        <f t="shared" si="110"/>
        <v>0</v>
      </c>
      <c r="Z63" s="33">
        <f t="shared" si="110"/>
        <v>0</v>
      </c>
      <c r="AA63" s="33">
        <f t="shared" si="110"/>
        <v>0</v>
      </c>
      <c r="AB63" s="33">
        <f t="shared" si="110"/>
        <v>0</v>
      </c>
      <c r="AC63" s="33">
        <f t="shared" si="110"/>
        <v>0</v>
      </c>
      <c r="AD63" s="33">
        <f t="shared" si="110"/>
        <v>0</v>
      </c>
      <c r="AE63" s="33">
        <f t="shared" ref="AE63:AJ65" si="111">IF(AND(AE$79&gt;=$F63,AE$79&lt;=$G63),$E63/$H63,0)</f>
        <v>0</v>
      </c>
      <c r="AF63" s="33">
        <f t="shared" si="111"/>
        <v>0</v>
      </c>
      <c r="AG63" s="33">
        <f t="shared" si="111"/>
        <v>0</v>
      </c>
      <c r="AH63" s="33">
        <f t="shared" si="111"/>
        <v>0</v>
      </c>
      <c r="AI63" s="33">
        <f t="shared" si="111"/>
        <v>0</v>
      </c>
      <c r="AJ63" s="33">
        <f t="shared" si="111"/>
        <v>0</v>
      </c>
      <c r="AK63" s="14">
        <f t="shared" si="57"/>
        <v>0</v>
      </c>
      <c r="AM63">
        <f t="shared" si="58"/>
        <v>0</v>
      </c>
      <c r="AN63">
        <f t="shared" si="59"/>
        <v>0</v>
      </c>
      <c r="AO63">
        <f t="shared" si="60"/>
        <v>0</v>
      </c>
      <c r="AP63">
        <f t="shared" si="61"/>
        <v>0</v>
      </c>
      <c r="AQ63">
        <f t="shared" si="62"/>
        <v>0</v>
      </c>
      <c r="AR63">
        <f t="shared" si="63"/>
        <v>0</v>
      </c>
      <c r="AS63">
        <f t="shared" si="64"/>
        <v>1</v>
      </c>
      <c r="AT63">
        <f t="shared" si="65"/>
        <v>0</v>
      </c>
      <c r="AU63">
        <f t="shared" si="66"/>
        <v>0</v>
      </c>
      <c r="AV63">
        <f t="shared" si="67"/>
        <v>0</v>
      </c>
      <c r="AW63">
        <f t="shared" si="68"/>
        <v>0</v>
      </c>
      <c r="AX63">
        <f t="shared" si="69"/>
        <v>0</v>
      </c>
      <c r="AY63">
        <f t="shared" si="70"/>
        <v>0</v>
      </c>
      <c r="AZ63">
        <f t="shared" si="71"/>
        <v>0</v>
      </c>
      <c r="BA63">
        <f t="shared" si="72"/>
        <v>0</v>
      </c>
      <c r="BB63">
        <f t="shared" si="73"/>
        <v>0</v>
      </c>
      <c r="BC63">
        <f t="shared" si="74"/>
        <v>0</v>
      </c>
      <c r="BD63">
        <f t="shared" si="75"/>
        <v>0</v>
      </c>
      <c r="BE63">
        <f t="shared" si="76"/>
        <v>0</v>
      </c>
      <c r="BF63">
        <f t="shared" si="77"/>
        <v>0</v>
      </c>
      <c r="BG63">
        <f t="shared" si="78"/>
        <v>0</v>
      </c>
      <c r="BH63">
        <f t="shared" si="79"/>
        <v>0</v>
      </c>
      <c r="BI63">
        <f t="shared" si="80"/>
        <v>0</v>
      </c>
      <c r="BJ63">
        <f t="shared" si="81"/>
        <v>0</v>
      </c>
      <c r="BK63">
        <f t="shared" si="82"/>
        <v>0</v>
      </c>
      <c r="BL63">
        <f t="shared" si="83"/>
        <v>0</v>
      </c>
      <c r="BM63">
        <f t="shared" si="84"/>
        <v>1</v>
      </c>
    </row>
    <row r="64" spans="1:65" ht="25">
      <c r="A64" s="19" t="s">
        <v>228</v>
      </c>
      <c r="B64" s="19" t="s">
        <v>377</v>
      </c>
      <c r="C64" s="19" t="s">
        <v>18</v>
      </c>
      <c r="D64" s="25" t="s">
        <v>327</v>
      </c>
      <c r="E64" s="21">
        <v>1005750</v>
      </c>
      <c r="F64" s="19">
        <v>8</v>
      </c>
      <c r="G64" s="19">
        <v>8</v>
      </c>
      <c r="H64" s="19">
        <f t="shared" si="55"/>
        <v>1</v>
      </c>
      <c r="I64" s="27" t="s">
        <v>115</v>
      </c>
      <c r="J64" s="32" t="s">
        <v>230</v>
      </c>
      <c r="K64" s="33">
        <f t="shared" si="109"/>
        <v>0</v>
      </c>
      <c r="L64" s="33">
        <f t="shared" si="109"/>
        <v>0</v>
      </c>
      <c r="M64" s="33">
        <f t="shared" si="109"/>
        <v>0</v>
      </c>
      <c r="N64" s="33">
        <f t="shared" si="109"/>
        <v>0</v>
      </c>
      <c r="O64" s="33">
        <f t="shared" si="109"/>
        <v>0</v>
      </c>
      <c r="P64" s="33">
        <f t="shared" si="109"/>
        <v>0</v>
      </c>
      <c r="Q64" s="33">
        <f t="shared" si="109"/>
        <v>0</v>
      </c>
      <c r="R64" s="33">
        <f t="shared" si="109"/>
        <v>1005750</v>
      </c>
      <c r="S64" s="33">
        <f t="shared" si="109"/>
        <v>0</v>
      </c>
      <c r="T64" s="33">
        <f t="shared" si="109"/>
        <v>0</v>
      </c>
      <c r="U64" s="33">
        <f t="shared" si="110"/>
        <v>0</v>
      </c>
      <c r="V64" s="33">
        <f t="shared" si="110"/>
        <v>0</v>
      </c>
      <c r="W64" s="33">
        <f t="shared" si="110"/>
        <v>0</v>
      </c>
      <c r="X64" s="33">
        <f t="shared" si="110"/>
        <v>0</v>
      </c>
      <c r="Y64" s="33">
        <f t="shared" si="110"/>
        <v>0</v>
      </c>
      <c r="Z64" s="33">
        <f t="shared" si="110"/>
        <v>0</v>
      </c>
      <c r="AA64" s="33">
        <f t="shared" si="110"/>
        <v>0</v>
      </c>
      <c r="AB64" s="33">
        <f t="shared" si="110"/>
        <v>0</v>
      </c>
      <c r="AC64" s="33">
        <f t="shared" si="110"/>
        <v>0</v>
      </c>
      <c r="AD64" s="33">
        <f t="shared" si="110"/>
        <v>0</v>
      </c>
      <c r="AE64" s="33">
        <f t="shared" si="111"/>
        <v>0</v>
      </c>
      <c r="AF64" s="33">
        <f t="shared" si="111"/>
        <v>0</v>
      </c>
      <c r="AG64" s="33">
        <f t="shared" si="111"/>
        <v>0</v>
      </c>
      <c r="AH64" s="33">
        <f t="shared" si="111"/>
        <v>0</v>
      </c>
      <c r="AI64" s="33">
        <f t="shared" si="111"/>
        <v>0</v>
      </c>
      <c r="AJ64" s="33">
        <f t="shared" si="111"/>
        <v>0</v>
      </c>
      <c r="AK64" s="14">
        <f t="shared" si="57"/>
        <v>0</v>
      </c>
      <c r="AM64">
        <f t="shared" si="58"/>
        <v>0</v>
      </c>
      <c r="AN64">
        <f t="shared" si="59"/>
        <v>0</v>
      </c>
      <c r="AO64">
        <f t="shared" si="60"/>
        <v>0</v>
      </c>
      <c r="AP64">
        <f t="shared" si="61"/>
        <v>0</v>
      </c>
      <c r="AQ64">
        <f t="shared" si="62"/>
        <v>0</v>
      </c>
      <c r="AR64">
        <f t="shared" si="63"/>
        <v>0</v>
      </c>
      <c r="AS64">
        <f t="shared" si="64"/>
        <v>0</v>
      </c>
      <c r="AT64">
        <f t="shared" si="65"/>
        <v>1</v>
      </c>
      <c r="AU64">
        <f t="shared" si="66"/>
        <v>0</v>
      </c>
      <c r="AV64">
        <f t="shared" si="67"/>
        <v>0</v>
      </c>
      <c r="AW64">
        <f t="shared" si="68"/>
        <v>0</v>
      </c>
      <c r="AX64">
        <f t="shared" si="69"/>
        <v>0</v>
      </c>
      <c r="AY64">
        <f t="shared" si="70"/>
        <v>0</v>
      </c>
      <c r="AZ64">
        <f t="shared" si="71"/>
        <v>0</v>
      </c>
      <c r="BA64">
        <f t="shared" si="72"/>
        <v>0</v>
      </c>
      <c r="BB64">
        <f t="shared" si="73"/>
        <v>0</v>
      </c>
      <c r="BC64">
        <f t="shared" si="74"/>
        <v>0</v>
      </c>
      <c r="BD64">
        <f t="shared" si="75"/>
        <v>0</v>
      </c>
      <c r="BE64">
        <f t="shared" si="76"/>
        <v>0</v>
      </c>
      <c r="BF64">
        <f t="shared" si="77"/>
        <v>0</v>
      </c>
      <c r="BG64">
        <f t="shared" si="78"/>
        <v>0</v>
      </c>
      <c r="BH64">
        <f t="shared" si="79"/>
        <v>0</v>
      </c>
      <c r="BI64">
        <f t="shared" si="80"/>
        <v>0</v>
      </c>
      <c r="BJ64">
        <f t="shared" si="81"/>
        <v>0</v>
      </c>
      <c r="BK64">
        <f t="shared" si="82"/>
        <v>0</v>
      </c>
      <c r="BL64">
        <f t="shared" si="83"/>
        <v>0</v>
      </c>
      <c r="BM64">
        <f t="shared" si="84"/>
        <v>1</v>
      </c>
    </row>
    <row r="65" spans="1:65" ht="25">
      <c r="A65" s="19" t="s">
        <v>231</v>
      </c>
      <c r="B65" s="19" t="s">
        <v>378</v>
      </c>
      <c r="C65" s="19" t="s">
        <v>18</v>
      </c>
      <c r="D65" s="25" t="s">
        <v>327</v>
      </c>
      <c r="E65" s="21">
        <v>5364000</v>
      </c>
      <c r="F65" s="19">
        <v>9</v>
      </c>
      <c r="G65" s="19">
        <v>16</v>
      </c>
      <c r="H65" s="19">
        <f t="shared" si="55"/>
        <v>8</v>
      </c>
      <c r="I65" s="27" t="s">
        <v>115</v>
      </c>
      <c r="J65" s="32" t="s">
        <v>233</v>
      </c>
      <c r="K65" s="33">
        <f t="shared" si="109"/>
        <v>0</v>
      </c>
      <c r="L65" s="33">
        <f t="shared" si="109"/>
        <v>0</v>
      </c>
      <c r="M65" s="33">
        <f t="shared" si="109"/>
        <v>0</v>
      </c>
      <c r="N65" s="33">
        <f t="shared" si="109"/>
        <v>0</v>
      </c>
      <c r="O65" s="33">
        <f t="shared" si="109"/>
        <v>0</v>
      </c>
      <c r="P65" s="33">
        <f t="shared" si="109"/>
        <v>0</v>
      </c>
      <c r="Q65" s="33">
        <f t="shared" si="109"/>
        <v>0</v>
      </c>
      <c r="R65" s="33">
        <f t="shared" si="109"/>
        <v>0</v>
      </c>
      <c r="S65" s="33">
        <f t="shared" si="109"/>
        <v>670500</v>
      </c>
      <c r="T65" s="33">
        <f t="shared" si="109"/>
        <v>670500</v>
      </c>
      <c r="U65" s="33">
        <f t="shared" si="110"/>
        <v>670500</v>
      </c>
      <c r="V65" s="33">
        <f t="shared" si="110"/>
        <v>670500</v>
      </c>
      <c r="W65" s="33">
        <f t="shared" si="110"/>
        <v>670500</v>
      </c>
      <c r="X65" s="33">
        <f t="shared" si="110"/>
        <v>670500</v>
      </c>
      <c r="Y65" s="33">
        <f t="shared" si="110"/>
        <v>670500</v>
      </c>
      <c r="Z65" s="33">
        <f t="shared" si="110"/>
        <v>670500</v>
      </c>
      <c r="AA65" s="33">
        <f t="shared" si="110"/>
        <v>0</v>
      </c>
      <c r="AB65" s="33">
        <f t="shared" si="110"/>
        <v>0</v>
      </c>
      <c r="AC65" s="33">
        <f t="shared" si="110"/>
        <v>0</v>
      </c>
      <c r="AD65" s="33">
        <f t="shared" si="110"/>
        <v>0</v>
      </c>
      <c r="AE65" s="33">
        <f t="shared" si="111"/>
        <v>0</v>
      </c>
      <c r="AF65" s="33">
        <f t="shared" si="111"/>
        <v>0</v>
      </c>
      <c r="AG65" s="33">
        <f t="shared" si="111"/>
        <v>0</v>
      </c>
      <c r="AH65" s="33">
        <f t="shared" si="111"/>
        <v>0</v>
      </c>
      <c r="AI65" s="33">
        <f t="shared" si="111"/>
        <v>0</v>
      </c>
      <c r="AJ65" s="33">
        <f t="shared" si="111"/>
        <v>0</v>
      </c>
      <c r="AK65" s="14">
        <f t="shared" si="57"/>
        <v>0</v>
      </c>
      <c r="AM65">
        <f t="shared" si="58"/>
        <v>0</v>
      </c>
      <c r="AN65">
        <f t="shared" si="59"/>
        <v>0</v>
      </c>
      <c r="AO65">
        <f t="shared" si="60"/>
        <v>0</v>
      </c>
      <c r="AP65">
        <f t="shared" si="61"/>
        <v>0</v>
      </c>
      <c r="AQ65">
        <f t="shared" si="62"/>
        <v>0</v>
      </c>
      <c r="AR65">
        <f t="shared" si="63"/>
        <v>0</v>
      </c>
      <c r="AS65">
        <f t="shared" si="64"/>
        <v>0</v>
      </c>
      <c r="AT65">
        <f t="shared" si="65"/>
        <v>0</v>
      </c>
      <c r="AU65">
        <f t="shared" si="66"/>
        <v>1</v>
      </c>
      <c r="AV65">
        <f t="shared" si="67"/>
        <v>2</v>
      </c>
      <c r="AW65">
        <f t="shared" si="68"/>
        <v>3</v>
      </c>
      <c r="AX65">
        <f t="shared" si="69"/>
        <v>4</v>
      </c>
      <c r="AY65">
        <f t="shared" si="70"/>
        <v>4</v>
      </c>
      <c r="AZ65">
        <f t="shared" si="71"/>
        <v>3</v>
      </c>
      <c r="BA65">
        <f t="shared" si="72"/>
        <v>2</v>
      </c>
      <c r="BB65">
        <f t="shared" si="73"/>
        <v>1</v>
      </c>
      <c r="BC65">
        <f t="shared" si="74"/>
        <v>0</v>
      </c>
      <c r="BD65">
        <f t="shared" si="75"/>
        <v>0</v>
      </c>
      <c r="BE65">
        <f t="shared" si="76"/>
        <v>0</v>
      </c>
      <c r="BF65">
        <f t="shared" si="77"/>
        <v>0</v>
      </c>
      <c r="BG65">
        <f t="shared" si="78"/>
        <v>0</v>
      </c>
      <c r="BH65">
        <f t="shared" si="79"/>
        <v>0</v>
      </c>
      <c r="BI65">
        <f t="shared" si="80"/>
        <v>0</v>
      </c>
      <c r="BJ65">
        <f t="shared" si="81"/>
        <v>0</v>
      </c>
      <c r="BK65">
        <f t="shared" si="82"/>
        <v>0</v>
      </c>
      <c r="BL65">
        <f t="shared" si="83"/>
        <v>0</v>
      </c>
      <c r="BM65">
        <f t="shared" si="84"/>
        <v>20</v>
      </c>
    </row>
    <row r="66" spans="1:65" ht="37.5">
      <c r="A66" s="19" t="s">
        <v>234</v>
      </c>
      <c r="B66" s="19" t="s">
        <v>379</v>
      </c>
      <c r="C66" s="19" t="s">
        <v>18</v>
      </c>
      <c r="D66" s="26" t="s">
        <v>331</v>
      </c>
      <c r="E66" s="21">
        <v>8195000</v>
      </c>
      <c r="F66" s="19">
        <v>17</v>
      </c>
      <c r="G66" s="19">
        <v>26</v>
      </c>
      <c r="H66" s="19">
        <f t="shared" si="55"/>
        <v>10</v>
      </c>
      <c r="I66" s="19" t="s">
        <v>39</v>
      </c>
      <c r="J66" s="32" t="s">
        <v>236</v>
      </c>
      <c r="K66" s="33">
        <f t="shared" ref="K66:AJ66" si="112">IF(AND(K$79&gt;=$F66,K$79&lt;=$G66),AM66/$BM$66*$E66,0)</f>
        <v>0</v>
      </c>
      <c r="L66" s="33">
        <f t="shared" si="112"/>
        <v>0</v>
      </c>
      <c r="M66" s="33">
        <f t="shared" si="112"/>
        <v>0</v>
      </c>
      <c r="N66" s="33">
        <f t="shared" si="112"/>
        <v>0</v>
      </c>
      <c r="O66" s="33">
        <f t="shared" si="112"/>
        <v>0</v>
      </c>
      <c r="P66" s="33">
        <f t="shared" si="112"/>
        <v>0</v>
      </c>
      <c r="Q66" s="33">
        <f t="shared" si="112"/>
        <v>0</v>
      </c>
      <c r="R66" s="33">
        <f t="shared" si="112"/>
        <v>0</v>
      </c>
      <c r="S66" s="33">
        <f t="shared" si="112"/>
        <v>0</v>
      </c>
      <c r="T66" s="33">
        <f t="shared" si="112"/>
        <v>0</v>
      </c>
      <c r="U66" s="33">
        <f t="shared" si="112"/>
        <v>0</v>
      </c>
      <c r="V66" s="33">
        <f t="shared" si="112"/>
        <v>0</v>
      </c>
      <c r="W66" s="33">
        <f t="shared" si="112"/>
        <v>0</v>
      </c>
      <c r="X66" s="33">
        <f t="shared" si="112"/>
        <v>0</v>
      </c>
      <c r="Y66" s="33">
        <f t="shared" si="112"/>
        <v>0</v>
      </c>
      <c r="Z66" s="33">
        <f t="shared" si="112"/>
        <v>0</v>
      </c>
      <c r="AA66" s="33">
        <f t="shared" si="112"/>
        <v>273166.66666666669</v>
      </c>
      <c r="AB66" s="33">
        <f t="shared" si="112"/>
        <v>546333.33333333337</v>
      </c>
      <c r="AC66" s="33">
        <f t="shared" si="112"/>
        <v>819500</v>
      </c>
      <c r="AD66" s="33">
        <f t="shared" si="112"/>
        <v>1092666.6666666667</v>
      </c>
      <c r="AE66" s="33">
        <f t="shared" si="112"/>
        <v>1365833.3333333333</v>
      </c>
      <c r="AF66" s="33">
        <f t="shared" si="112"/>
        <v>1365833.3333333333</v>
      </c>
      <c r="AG66" s="33">
        <f t="shared" si="112"/>
        <v>1092666.6666666667</v>
      </c>
      <c r="AH66" s="33">
        <f t="shared" si="112"/>
        <v>819500</v>
      </c>
      <c r="AI66" s="33">
        <f t="shared" si="112"/>
        <v>546333.33333333337</v>
      </c>
      <c r="AJ66" s="33">
        <f t="shared" si="112"/>
        <v>273166.66666666669</v>
      </c>
      <c r="AK66" s="14">
        <f t="shared" si="57"/>
        <v>0</v>
      </c>
      <c r="AM66">
        <f t="shared" si="58"/>
        <v>0</v>
      </c>
      <c r="AN66">
        <f t="shared" si="59"/>
        <v>0</v>
      </c>
      <c r="AO66">
        <f t="shared" si="60"/>
        <v>0</v>
      </c>
      <c r="AP66">
        <f t="shared" si="61"/>
        <v>0</v>
      </c>
      <c r="AQ66">
        <f t="shared" si="62"/>
        <v>0</v>
      </c>
      <c r="AR66">
        <f t="shared" si="63"/>
        <v>0</v>
      </c>
      <c r="AS66">
        <f t="shared" si="64"/>
        <v>0</v>
      </c>
      <c r="AT66">
        <f t="shared" si="65"/>
        <v>0</v>
      </c>
      <c r="AU66">
        <f t="shared" si="66"/>
        <v>0</v>
      </c>
      <c r="AV66">
        <f t="shared" si="67"/>
        <v>0</v>
      </c>
      <c r="AW66">
        <f t="shared" si="68"/>
        <v>0</v>
      </c>
      <c r="AX66">
        <f t="shared" si="69"/>
        <v>0</v>
      </c>
      <c r="AY66">
        <f t="shared" si="70"/>
        <v>0</v>
      </c>
      <c r="AZ66">
        <f t="shared" si="71"/>
        <v>0</v>
      </c>
      <c r="BA66">
        <f t="shared" si="72"/>
        <v>0</v>
      </c>
      <c r="BB66">
        <f t="shared" si="73"/>
        <v>0</v>
      </c>
      <c r="BC66">
        <f t="shared" si="74"/>
        <v>1</v>
      </c>
      <c r="BD66">
        <f t="shared" si="75"/>
        <v>2</v>
      </c>
      <c r="BE66">
        <f t="shared" si="76"/>
        <v>3</v>
      </c>
      <c r="BF66">
        <f t="shared" si="77"/>
        <v>4</v>
      </c>
      <c r="BG66">
        <f t="shared" si="78"/>
        <v>5</v>
      </c>
      <c r="BH66">
        <f t="shared" si="79"/>
        <v>5</v>
      </c>
      <c r="BI66">
        <f t="shared" si="80"/>
        <v>4</v>
      </c>
      <c r="BJ66">
        <f t="shared" si="81"/>
        <v>3</v>
      </c>
      <c r="BK66">
        <f t="shared" si="82"/>
        <v>2</v>
      </c>
      <c r="BL66">
        <f t="shared" si="83"/>
        <v>1</v>
      </c>
      <c r="BM66">
        <f t="shared" si="84"/>
        <v>30</v>
      </c>
    </row>
    <row r="67" spans="1:65">
      <c r="A67" s="19" t="s">
        <v>237</v>
      </c>
      <c r="B67" s="19" t="s">
        <v>380</v>
      </c>
      <c r="C67" s="19" t="s">
        <v>18</v>
      </c>
      <c r="D67" s="25" t="s">
        <v>327</v>
      </c>
      <c r="E67" s="21">
        <v>89900</v>
      </c>
      <c r="F67" s="19">
        <v>18</v>
      </c>
      <c r="G67" s="19">
        <v>18</v>
      </c>
      <c r="H67" s="19">
        <f t="shared" si="55"/>
        <v>1</v>
      </c>
      <c r="I67" s="19" t="s">
        <v>39</v>
      </c>
      <c r="J67" s="32" t="s">
        <v>73</v>
      </c>
      <c r="K67" s="33">
        <f t="shared" ref="K67:T69" si="113">IF(AND(K$79&gt;=$F67,K$79&lt;=$G67),$E67/$H67,0)</f>
        <v>0</v>
      </c>
      <c r="L67" s="33">
        <f t="shared" si="113"/>
        <v>0</v>
      </c>
      <c r="M67" s="33">
        <f t="shared" si="113"/>
        <v>0</v>
      </c>
      <c r="N67" s="33">
        <f t="shared" si="113"/>
        <v>0</v>
      </c>
      <c r="O67" s="33">
        <f t="shared" si="113"/>
        <v>0</v>
      </c>
      <c r="P67" s="33">
        <f t="shared" si="113"/>
        <v>0</v>
      </c>
      <c r="Q67" s="33">
        <f t="shared" si="113"/>
        <v>0</v>
      </c>
      <c r="R67" s="33">
        <f t="shared" si="113"/>
        <v>0</v>
      </c>
      <c r="S67" s="33">
        <f t="shared" si="113"/>
        <v>0</v>
      </c>
      <c r="T67" s="33">
        <f t="shared" si="113"/>
        <v>0</v>
      </c>
      <c r="U67" s="33">
        <f t="shared" ref="U67:AD69" si="114">IF(AND(U$79&gt;=$F67,U$79&lt;=$G67),$E67/$H67,0)</f>
        <v>0</v>
      </c>
      <c r="V67" s="33">
        <f t="shared" si="114"/>
        <v>0</v>
      </c>
      <c r="W67" s="33">
        <f t="shared" si="114"/>
        <v>0</v>
      </c>
      <c r="X67" s="33">
        <f t="shared" si="114"/>
        <v>0</v>
      </c>
      <c r="Y67" s="33">
        <f t="shared" si="114"/>
        <v>0</v>
      </c>
      <c r="Z67" s="33">
        <f t="shared" si="114"/>
        <v>0</v>
      </c>
      <c r="AA67" s="33">
        <f t="shared" si="114"/>
        <v>0</v>
      </c>
      <c r="AB67" s="33">
        <f t="shared" si="114"/>
        <v>89900</v>
      </c>
      <c r="AC67" s="33">
        <f t="shared" si="114"/>
        <v>0</v>
      </c>
      <c r="AD67" s="33">
        <f t="shared" si="114"/>
        <v>0</v>
      </c>
      <c r="AE67" s="33">
        <f t="shared" ref="AE67:AJ69" si="115">IF(AND(AE$79&gt;=$F67,AE$79&lt;=$G67),$E67/$H67,0)</f>
        <v>0</v>
      </c>
      <c r="AF67" s="33">
        <f t="shared" si="115"/>
        <v>0</v>
      </c>
      <c r="AG67" s="33">
        <f t="shared" si="115"/>
        <v>0</v>
      </c>
      <c r="AH67" s="33">
        <f t="shared" si="115"/>
        <v>0</v>
      </c>
      <c r="AI67" s="33">
        <f t="shared" si="115"/>
        <v>0</v>
      </c>
      <c r="AJ67" s="33">
        <f t="shared" si="115"/>
        <v>0</v>
      </c>
      <c r="AK67" s="14">
        <f t="shared" si="57"/>
        <v>0</v>
      </c>
      <c r="AM67">
        <f t="shared" si="58"/>
        <v>0</v>
      </c>
      <c r="AN67">
        <f t="shared" si="59"/>
        <v>0</v>
      </c>
      <c r="AO67">
        <f t="shared" si="60"/>
        <v>0</v>
      </c>
      <c r="AP67">
        <f t="shared" si="61"/>
        <v>0</v>
      </c>
      <c r="AQ67">
        <f t="shared" si="62"/>
        <v>0</v>
      </c>
      <c r="AR67">
        <f t="shared" si="63"/>
        <v>0</v>
      </c>
      <c r="AS67">
        <f t="shared" si="64"/>
        <v>0</v>
      </c>
      <c r="AT67">
        <f t="shared" si="65"/>
        <v>0</v>
      </c>
      <c r="AU67">
        <f t="shared" si="66"/>
        <v>0</v>
      </c>
      <c r="AV67">
        <f t="shared" si="67"/>
        <v>0</v>
      </c>
      <c r="AW67">
        <f t="shared" si="68"/>
        <v>0</v>
      </c>
      <c r="AX67">
        <f t="shared" si="69"/>
        <v>0</v>
      </c>
      <c r="AY67">
        <f t="shared" si="70"/>
        <v>0</v>
      </c>
      <c r="AZ67">
        <f t="shared" si="71"/>
        <v>0</v>
      </c>
      <c r="BA67">
        <f t="shared" si="72"/>
        <v>0</v>
      </c>
      <c r="BB67">
        <f t="shared" si="73"/>
        <v>0</v>
      </c>
      <c r="BC67">
        <f t="shared" si="74"/>
        <v>0</v>
      </c>
      <c r="BD67">
        <f t="shared" si="75"/>
        <v>1</v>
      </c>
      <c r="BE67">
        <f t="shared" si="76"/>
        <v>0</v>
      </c>
      <c r="BF67">
        <f t="shared" si="77"/>
        <v>0</v>
      </c>
      <c r="BG67">
        <f t="shared" si="78"/>
        <v>0</v>
      </c>
      <c r="BH67">
        <f t="shared" si="79"/>
        <v>0</v>
      </c>
      <c r="BI67">
        <f t="shared" si="80"/>
        <v>0</v>
      </c>
      <c r="BJ67">
        <f t="shared" si="81"/>
        <v>0</v>
      </c>
      <c r="BK67">
        <f t="shared" si="82"/>
        <v>0</v>
      </c>
      <c r="BL67">
        <f t="shared" si="83"/>
        <v>0</v>
      </c>
      <c r="BM67">
        <f t="shared" si="84"/>
        <v>1</v>
      </c>
    </row>
    <row r="68" spans="1:65" ht="25">
      <c r="A68" s="19" t="s">
        <v>240</v>
      </c>
      <c r="B68" s="19" t="s">
        <v>381</v>
      </c>
      <c r="C68" s="19" t="s">
        <v>18</v>
      </c>
      <c r="D68" s="25" t="s">
        <v>327</v>
      </c>
      <c r="E68" s="21">
        <v>269700</v>
      </c>
      <c r="F68" s="19">
        <v>18</v>
      </c>
      <c r="G68" s="19">
        <v>18</v>
      </c>
      <c r="H68" s="19">
        <f t="shared" si="55"/>
        <v>1</v>
      </c>
      <c r="I68" s="19" t="s">
        <v>39</v>
      </c>
      <c r="J68" s="32" t="s">
        <v>242</v>
      </c>
      <c r="K68" s="33">
        <f t="shared" si="113"/>
        <v>0</v>
      </c>
      <c r="L68" s="33">
        <f t="shared" si="113"/>
        <v>0</v>
      </c>
      <c r="M68" s="33">
        <f t="shared" si="113"/>
        <v>0</v>
      </c>
      <c r="N68" s="33">
        <f t="shared" si="113"/>
        <v>0</v>
      </c>
      <c r="O68" s="33">
        <f t="shared" si="113"/>
        <v>0</v>
      </c>
      <c r="P68" s="33">
        <f t="shared" si="113"/>
        <v>0</v>
      </c>
      <c r="Q68" s="33">
        <f t="shared" si="113"/>
        <v>0</v>
      </c>
      <c r="R68" s="33">
        <f t="shared" si="113"/>
        <v>0</v>
      </c>
      <c r="S68" s="33">
        <f t="shared" si="113"/>
        <v>0</v>
      </c>
      <c r="T68" s="33">
        <f t="shared" si="113"/>
        <v>0</v>
      </c>
      <c r="U68" s="33">
        <f t="shared" si="114"/>
        <v>0</v>
      </c>
      <c r="V68" s="33">
        <f t="shared" si="114"/>
        <v>0</v>
      </c>
      <c r="W68" s="33">
        <f t="shared" si="114"/>
        <v>0</v>
      </c>
      <c r="X68" s="33">
        <f t="shared" si="114"/>
        <v>0</v>
      </c>
      <c r="Y68" s="33">
        <f t="shared" si="114"/>
        <v>0</v>
      </c>
      <c r="Z68" s="33">
        <f t="shared" si="114"/>
        <v>0</v>
      </c>
      <c r="AA68" s="33">
        <f t="shared" si="114"/>
        <v>0</v>
      </c>
      <c r="AB68" s="33">
        <f t="shared" si="114"/>
        <v>269700</v>
      </c>
      <c r="AC68" s="33">
        <f t="shared" si="114"/>
        <v>0</v>
      </c>
      <c r="AD68" s="33">
        <f t="shared" si="114"/>
        <v>0</v>
      </c>
      <c r="AE68" s="33">
        <f t="shared" si="115"/>
        <v>0</v>
      </c>
      <c r="AF68" s="33">
        <f t="shared" si="115"/>
        <v>0</v>
      </c>
      <c r="AG68" s="33">
        <f t="shared" si="115"/>
        <v>0</v>
      </c>
      <c r="AH68" s="33">
        <f t="shared" si="115"/>
        <v>0</v>
      </c>
      <c r="AI68" s="33">
        <f t="shared" si="115"/>
        <v>0</v>
      </c>
      <c r="AJ68" s="33">
        <f t="shared" si="115"/>
        <v>0</v>
      </c>
      <c r="AK68" s="14">
        <f t="shared" si="57"/>
        <v>0</v>
      </c>
      <c r="AM68">
        <f t="shared" si="58"/>
        <v>0</v>
      </c>
      <c r="AN68">
        <f t="shared" si="59"/>
        <v>0</v>
      </c>
      <c r="AO68">
        <f t="shared" si="60"/>
        <v>0</v>
      </c>
      <c r="AP68">
        <f t="shared" si="61"/>
        <v>0</v>
      </c>
      <c r="AQ68">
        <f t="shared" si="62"/>
        <v>0</v>
      </c>
      <c r="AR68">
        <f t="shared" si="63"/>
        <v>0</v>
      </c>
      <c r="AS68">
        <f t="shared" si="64"/>
        <v>0</v>
      </c>
      <c r="AT68">
        <f t="shared" si="65"/>
        <v>0</v>
      </c>
      <c r="AU68">
        <f t="shared" si="66"/>
        <v>0</v>
      </c>
      <c r="AV68">
        <f t="shared" si="67"/>
        <v>0</v>
      </c>
      <c r="AW68">
        <f t="shared" si="68"/>
        <v>0</v>
      </c>
      <c r="AX68">
        <f t="shared" si="69"/>
        <v>0</v>
      </c>
      <c r="AY68">
        <f t="shared" si="70"/>
        <v>0</v>
      </c>
      <c r="AZ68">
        <f t="shared" si="71"/>
        <v>0</v>
      </c>
      <c r="BA68">
        <f t="shared" si="72"/>
        <v>0</v>
      </c>
      <c r="BB68">
        <f t="shared" si="73"/>
        <v>0</v>
      </c>
      <c r="BC68">
        <f t="shared" si="74"/>
        <v>0</v>
      </c>
      <c r="BD68">
        <f t="shared" si="75"/>
        <v>1</v>
      </c>
      <c r="BE68">
        <f t="shared" si="76"/>
        <v>0</v>
      </c>
      <c r="BF68">
        <f t="shared" si="77"/>
        <v>0</v>
      </c>
      <c r="BG68">
        <f t="shared" si="78"/>
        <v>0</v>
      </c>
      <c r="BH68">
        <f t="shared" si="79"/>
        <v>0</v>
      </c>
      <c r="BI68">
        <f t="shared" si="80"/>
        <v>0</v>
      </c>
      <c r="BJ68">
        <f t="shared" si="81"/>
        <v>0</v>
      </c>
      <c r="BK68">
        <f t="shared" si="82"/>
        <v>0</v>
      </c>
      <c r="BL68">
        <f t="shared" si="83"/>
        <v>0</v>
      </c>
      <c r="BM68">
        <f t="shared" si="84"/>
        <v>1</v>
      </c>
    </row>
    <row r="69" spans="1:65" ht="25">
      <c r="A69" s="19" t="s">
        <v>243</v>
      </c>
      <c r="B69" s="19" t="s">
        <v>382</v>
      </c>
      <c r="C69" s="19" t="s">
        <v>18</v>
      </c>
      <c r="D69" s="25" t="s">
        <v>327</v>
      </c>
      <c r="E69" s="21">
        <v>1438400</v>
      </c>
      <c r="F69" s="19">
        <v>19</v>
      </c>
      <c r="G69" s="19">
        <v>19</v>
      </c>
      <c r="H69" s="19">
        <f t="shared" si="55"/>
        <v>1</v>
      </c>
      <c r="I69" s="19" t="s">
        <v>39</v>
      </c>
      <c r="J69" s="32" t="s">
        <v>245</v>
      </c>
      <c r="K69" s="33">
        <f t="shared" si="113"/>
        <v>0</v>
      </c>
      <c r="L69" s="33">
        <f t="shared" si="113"/>
        <v>0</v>
      </c>
      <c r="M69" s="33">
        <f t="shared" si="113"/>
        <v>0</v>
      </c>
      <c r="N69" s="33">
        <f t="shared" si="113"/>
        <v>0</v>
      </c>
      <c r="O69" s="33">
        <f t="shared" si="113"/>
        <v>0</v>
      </c>
      <c r="P69" s="33">
        <f t="shared" si="113"/>
        <v>0</v>
      </c>
      <c r="Q69" s="33">
        <f t="shared" si="113"/>
        <v>0</v>
      </c>
      <c r="R69" s="33">
        <f t="shared" si="113"/>
        <v>0</v>
      </c>
      <c r="S69" s="33">
        <f t="shared" si="113"/>
        <v>0</v>
      </c>
      <c r="T69" s="33">
        <f t="shared" si="113"/>
        <v>0</v>
      </c>
      <c r="U69" s="33">
        <f t="shared" si="114"/>
        <v>0</v>
      </c>
      <c r="V69" s="33">
        <f t="shared" si="114"/>
        <v>0</v>
      </c>
      <c r="W69" s="33">
        <f t="shared" si="114"/>
        <v>0</v>
      </c>
      <c r="X69" s="33">
        <f t="shared" si="114"/>
        <v>0</v>
      </c>
      <c r="Y69" s="33">
        <f t="shared" si="114"/>
        <v>0</v>
      </c>
      <c r="Z69" s="33">
        <f t="shared" si="114"/>
        <v>0</v>
      </c>
      <c r="AA69" s="33">
        <f t="shared" si="114"/>
        <v>0</v>
      </c>
      <c r="AB69" s="33">
        <f t="shared" si="114"/>
        <v>0</v>
      </c>
      <c r="AC69" s="33">
        <f t="shared" si="114"/>
        <v>1438400</v>
      </c>
      <c r="AD69" s="33">
        <f t="shared" si="114"/>
        <v>0</v>
      </c>
      <c r="AE69" s="33">
        <f t="shared" si="115"/>
        <v>0</v>
      </c>
      <c r="AF69" s="33">
        <f t="shared" si="115"/>
        <v>0</v>
      </c>
      <c r="AG69" s="33">
        <f t="shared" si="115"/>
        <v>0</v>
      </c>
      <c r="AH69" s="33">
        <f t="shared" si="115"/>
        <v>0</v>
      </c>
      <c r="AI69" s="33">
        <f t="shared" si="115"/>
        <v>0</v>
      </c>
      <c r="AJ69" s="33">
        <f t="shared" si="115"/>
        <v>0</v>
      </c>
      <c r="AK69" s="14">
        <f t="shared" si="57"/>
        <v>0</v>
      </c>
      <c r="AM69">
        <f t="shared" si="58"/>
        <v>0</v>
      </c>
      <c r="AN69">
        <f t="shared" si="59"/>
        <v>0</v>
      </c>
      <c r="AO69">
        <f t="shared" si="60"/>
        <v>0</v>
      </c>
      <c r="AP69">
        <f t="shared" si="61"/>
        <v>0</v>
      </c>
      <c r="AQ69">
        <f t="shared" si="62"/>
        <v>0</v>
      </c>
      <c r="AR69">
        <f t="shared" si="63"/>
        <v>0</v>
      </c>
      <c r="AS69">
        <f t="shared" si="64"/>
        <v>0</v>
      </c>
      <c r="AT69">
        <f t="shared" si="65"/>
        <v>0</v>
      </c>
      <c r="AU69">
        <f t="shared" si="66"/>
        <v>0</v>
      </c>
      <c r="AV69">
        <f t="shared" si="67"/>
        <v>0</v>
      </c>
      <c r="AW69">
        <f t="shared" si="68"/>
        <v>0</v>
      </c>
      <c r="AX69">
        <f t="shared" si="69"/>
        <v>0</v>
      </c>
      <c r="AY69">
        <f t="shared" si="70"/>
        <v>0</v>
      </c>
      <c r="AZ69">
        <f t="shared" si="71"/>
        <v>0</v>
      </c>
      <c r="BA69">
        <f t="shared" si="72"/>
        <v>0</v>
      </c>
      <c r="BB69">
        <f t="shared" si="73"/>
        <v>0</v>
      </c>
      <c r="BC69">
        <f t="shared" si="74"/>
        <v>0</v>
      </c>
      <c r="BD69">
        <f t="shared" si="75"/>
        <v>0</v>
      </c>
      <c r="BE69">
        <f t="shared" si="76"/>
        <v>1</v>
      </c>
      <c r="BF69">
        <f t="shared" si="77"/>
        <v>0</v>
      </c>
      <c r="BG69">
        <f t="shared" si="78"/>
        <v>0</v>
      </c>
      <c r="BH69">
        <f t="shared" si="79"/>
        <v>0</v>
      </c>
      <c r="BI69">
        <f t="shared" si="80"/>
        <v>0</v>
      </c>
      <c r="BJ69">
        <f t="shared" si="81"/>
        <v>0</v>
      </c>
      <c r="BK69">
        <f t="shared" si="82"/>
        <v>0</v>
      </c>
      <c r="BL69">
        <f t="shared" si="83"/>
        <v>0</v>
      </c>
      <c r="BM69">
        <f t="shared" si="84"/>
        <v>1</v>
      </c>
    </row>
    <row r="70" spans="1:65" ht="50">
      <c r="A70" s="19" t="s">
        <v>246</v>
      </c>
      <c r="B70" s="19" t="s">
        <v>383</v>
      </c>
      <c r="C70" s="19" t="s">
        <v>18</v>
      </c>
      <c r="D70" s="26" t="s">
        <v>331</v>
      </c>
      <c r="E70" s="21">
        <v>7192000</v>
      </c>
      <c r="F70" s="19">
        <v>20</v>
      </c>
      <c r="G70" s="19">
        <v>26</v>
      </c>
      <c r="H70" s="19">
        <f t="shared" ref="H70:H101" si="116">G70-F70+1</f>
        <v>7</v>
      </c>
      <c r="I70" s="19" t="s">
        <v>39</v>
      </c>
      <c r="J70" s="32" t="s">
        <v>248</v>
      </c>
      <c r="K70" s="33">
        <f t="shared" ref="K70:AJ70" si="117">IF(AND(K$79&gt;=$F70,K$79&lt;=$G70),AM70/$BM$70*$E70,0)</f>
        <v>0</v>
      </c>
      <c r="L70" s="33">
        <f t="shared" si="117"/>
        <v>0</v>
      </c>
      <c r="M70" s="33">
        <f t="shared" si="117"/>
        <v>0</v>
      </c>
      <c r="N70" s="33">
        <f t="shared" si="117"/>
        <v>0</v>
      </c>
      <c r="O70" s="33">
        <f t="shared" si="117"/>
        <v>0</v>
      </c>
      <c r="P70" s="33">
        <f t="shared" si="117"/>
        <v>0</v>
      </c>
      <c r="Q70" s="33">
        <f t="shared" si="117"/>
        <v>0</v>
      </c>
      <c r="R70" s="33">
        <f t="shared" si="117"/>
        <v>0</v>
      </c>
      <c r="S70" s="33">
        <f t="shared" si="117"/>
        <v>0</v>
      </c>
      <c r="T70" s="33">
        <f t="shared" si="117"/>
        <v>0</v>
      </c>
      <c r="U70" s="33">
        <f t="shared" si="117"/>
        <v>0</v>
      </c>
      <c r="V70" s="33">
        <f t="shared" si="117"/>
        <v>0</v>
      </c>
      <c r="W70" s="33">
        <f t="shared" si="117"/>
        <v>0</v>
      </c>
      <c r="X70" s="33">
        <f t="shared" si="117"/>
        <v>0</v>
      </c>
      <c r="Y70" s="33">
        <f t="shared" si="117"/>
        <v>0</v>
      </c>
      <c r="Z70" s="33">
        <f t="shared" si="117"/>
        <v>0</v>
      </c>
      <c r="AA70" s="33">
        <f t="shared" si="117"/>
        <v>0</v>
      </c>
      <c r="AB70" s="33">
        <f t="shared" si="117"/>
        <v>0</v>
      </c>
      <c r="AC70" s="33">
        <f t="shared" si="117"/>
        <v>0</v>
      </c>
      <c r="AD70" s="33">
        <f t="shared" si="117"/>
        <v>449500</v>
      </c>
      <c r="AE70" s="33">
        <f t="shared" si="117"/>
        <v>899000</v>
      </c>
      <c r="AF70" s="33">
        <f t="shared" si="117"/>
        <v>1348500</v>
      </c>
      <c r="AG70" s="33">
        <f t="shared" si="117"/>
        <v>1798000</v>
      </c>
      <c r="AH70" s="33">
        <f t="shared" si="117"/>
        <v>1348500</v>
      </c>
      <c r="AI70" s="33">
        <f t="shared" si="117"/>
        <v>899000</v>
      </c>
      <c r="AJ70" s="33">
        <f t="shared" si="117"/>
        <v>449500</v>
      </c>
      <c r="AK70" s="14">
        <f t="shared" ref="AK70:AK101" si="118">SUM(K70:AJ70)-E70</f>
        <v>0</v>
      </c>
      <c r="AM70">
        <f t="shared" ref="AM70:AM78" si="119">IF(AND(K$79&gt;=$F70,K$79&lt;=$G70),(($G70-$F70)/2-ABS(K$79-($F70+$G70)/2))+1,0)</f>
        <v>0</v>
      </c>
      <c r="AN70">
        <f t="shared" ref="AN70:AN78" si="120">IF(AND(L$79&gt;=$F70,L$79&lt;=$G70),(($G70-$F70)/2-ABS(L$79-($F70+$G70)/2))+1,0)</f>
        <v>0</v>
      </c>
      <c r="AO70">
        <f t="shared" ref="AO70:AO78" si="121">IF(AND(M$79&gt;=$F70,M$79&lt;=$G70),(($G70-$F70)/2-ABS(M$79-($F70+$G70)/2))+1,0)</f>
        <v>0</v>
      </c>
      <c r="AP70">
        <f t="shared" ref="AP70:AP78" si="122">IF(AND(N$79&gt;=$F70,N$79&lt;=$G70),(($G70-$F70)/2-ABS(N$79-($F70+$G70)/2))+1,0)</f>
        <v>0</v>
      </c>
      <c r="AQ70">
        <f t="shared" ref="AQ70:AQ78" si="123">IF(AND(O$79&gt;=$F70,O$79&lt;=$G70),(($G70-$F70)/2-ABS(O$79-($F70+$G70)/2))+1,0)</f>
        <v>0</v>
      </c>
      <c r="AR70">
        <f t="shared" ref="AR70:AR78" si="124">IF(AND(P$79&gt;=$F70,P$79&lt;=$G70),(($G70-$F70)/2-ABS(P$79-($F70+$G70)/2))+1,0)</f>
        <v>0</v>
      </c>
      <c r="AS70">
        <f t="shared" ref="AS70:AS78" si="125">IF(AND(Q$79&gt;=$F70,Q$79&lt;=$G70),(($G70-$F70)/2-ABS(Q$79-($F70+$G70)/2))+1,0)</f>
        <v>0</v>
      </c>
      <c r="AT70">
        <f t="shared" ref="AT70:AT78" si="126">IF(AND(R$79&gt;=$F70,R$79&lt;=$G70),(($G70-$F70)/2-ABS(R$79-($F70+$G70)/2))+1,0)</f>
        <v>0</v>
      </c>
      <c r="AU70">
        <f t="shared" ref="AU70:AU78" si="127">IF(AND(S$79&gt;=$F70,S$79&lt;=$G70),(($G70-$F70)/2-ABS(S$79-($F70+$G70)/2))+1,0)</f>
        <v>0</v>
      </c>
      <c r="AV70">
        <f t="shared" ref="AV70:AV78" si="128">IF(AND(T$79&gt;=$F70,T$79&lt;=$G70),(($G70-$F70)/2-ABS(T$79-($F70+$G70)/2))+1,0)</f>
        <v>0</v>
      </c>
      <c r="AW70">
        <f t="shared" ref="AW70:AW78" si="129">IF(AND(U$79&gt;=$F70,U$79&lt;=$G70),(($G70-$F70)/2-ABS(U$79-($F70+$G70)/2))+1,0)</f>
        <v>0</v>
      </c>
      <c r="AX70">
        <f t="shared" ref="AX70:AX78" si="130">IF(AND(V$79&gt;=$F70,V$79&lt;=$G70),(($G70-$F70)/2-ABS(V$79-($F70+$G70)/2))+1,0)</f>
        <v>0</v>
      </c>
      <c r="AY70">
        <f t="shared" ref="AY70:AY78" si="131">IF(AND(W$79&gt;=$F70,W$79&lt;=$G70),(($G70-$F70)/2-ABS(W$79-($F70+$G70)/2))+1,0)</f>
        <v>0</v>
      </c>
      <c r="AZ70">
        <f t="shared" ref="AZ70:AZ78" si="132">IF(AND(X$79&gt;=$F70,X$79&lt;=$G70),(($G70-$F70)/2-ABS(X$79-($F70+$G70)/2))+1,0)</f>
        <v>0</v>
      </c>
      <c r="BA70">
        <f t="shared" ref="BA70:BA78" si="133">IF(AND(Y$79&gt;=$F70,Y$79&lt;=$G70),(($G70-$F70)/2-ABS(Y$79-($F70+$G70)/2))+1,0)</f>
        <v>0</v>
      </c>
      <c r="BB70">
        <f t="shared" ref="BB70:BB78" si="134">IF(AND(Z$79&gt;=$F70,Z$79&lt;=$G70),(($G70-$F70)/2-ABS(Z$79-($F70+$G70)/2))+1,0)</f>
        <v>0</v>
      </c>
      <c r="BC70">
        <f t="shared" ref="BC70:BC78" si="135">IF(AND(AA$79&gt;=$F70,AA$79&lt;=$G70),(($G70-$F70)/2-ABS(AA$79-($F70+$G70)/2))+1,0)</f>
        <v>0</v>
      </c>
      <c r="BD70">
        <f t="shared" ref="BD70:BD78" si="136">IF(AND(AB$79&gt;=$F70,AB$79&lt;=$G70),(($G70-$F70)/2-ABS(AB$79-($F70+$G70)/2))+1,0)</f>
        <v>0</v>
      </c>
      <c r="BE70">
        <f t="shared" ref="BE70:BE78" si="137">IF(AND(AC$79&gt;=$F70,AC$79&lt;=$G70),(($G70-$F70)/2-ABS(AC$79-($F70+$G70)/2))+1,0)</f>
        <v>0</v>
      </c>
      <c r="BF70">
        <f t="shared" ref="BF70:BF78" si="138">IF(AND(AD$79&gt;=$F70,AD$79&lt;=$G70),(($G70-$F70)/2-ABS(AD$79-($F70+$G70)/2))+1,0)</f>
        <v>1</v>
      </c>
      <c r="BG70">
        <f t="shared" ref="BG70:BG78" si="139">IF(AND(AE$79&gt;=$F70,AE$79&lt;=$G70),(($G70-$F70)/2-ABS(AE$79-($F70+$G70)/2))+1,0)</f>
        <v>2</v>
      </c>
      <c r="BH70">
        <f t="shared" ref="BH70:BH78" si="140">IF(AND(AF$79&gt;=$F70,AF$79&lt;=$G70),(($G70-$F70)/2-ABS(AF$79-($F70+$G70)/2))+1,0)</f>
        <v>3</v>
      </c>
      <c r="BI70">
        <f t="shared" ref="BI70:BI78" si="141">IF(AND(AG$79&gt;=$F70,AG$79&lt;=$G70),(($G70-$F70)/2-ABS(AG$79-($F70+$G70)/2))+1,0)</f>
        <v>4</v>
      </c>
      <c r="BJ70">
        <f t="shared" ref="BJ70:BJ78" si="142">IF(AND(AH$79&gt;=$F70,AH$79&lt;=$G70),(($G70-$F70)/2-ABS(AH$79-($F70+$G70)/2))+1,0)</f>
        <v>3</v>
      </c>
      <c r="BK70">
        <f t="shared" ref="BK70:BK78" si="143">IF(AND(AI$79&gt;=$F70,AI$79&lt;=$G70),(($G70-$F70)/2-ABS(AI$79-($F70+$G70)/2))+1,0)</f>
        <v>2</v>
      </c>
      <c r="BL70">
        <f t="shared" ref="BL70:BL78" si="144">IF(AND(AJ$79&gt;=$F70,AJ$79&lt;=$G70),(($G70-$F70)/2-ABS(AJ$79-($F70+$G70)/2))+1,0)</f>
        <v>1</v>
      </c>
      <c r="BM70">
        <f t="shared" ref="BM70:BM101" si="145">SUM(AM70:BL70)</f>
        <v>16</v>
      </c>
    </row>
    <row r="71" spans="1:65" ht="25">
      <c r="A71" s="19" t="s">
        <v>251</v>
      </c>
      <c r="B71" s="19" t="s">
        <v>384</v>
      </c>
      <c r="C71" s="19" t="s">
        <v>19</v>
      </c>
      <c r="D71" s="25" t="s">
        <v>327</v>
      </c>
      <c r="E71" s="21">
        <v>492750</v>
      </c>
      <c r="F71" s="19">
        <v>11</v>
      </c>
      <c r="G71" s="19">
        <v>11</v>
      </c>
      <c r="H71" s="19">
        <f t="shared" si="116"/>
        <v>1</v>
      </c>
      <c r="I71" s="27" t="s">
        <v>115</v>
      </c>
      <c r="J71" s="32" t="s">
        <v>100</v>
      </c>
      <c r="K71" s="33">
        <f t="shared" ref="K71:T73" si="146">IF(AND(K$79&gt;=$F71,K$79&lt;=$G71),$E71/$H71,0)</f>
        <v>0</v>
      </c>
      <c r="L71" s="33">
        <f t="shared" si="146"/>
        <v>0</v>
      </c>
      <c r="M71" s="33">
        <f t="shared" si="146"/>
        <v>0</v>
      </c>
      <c r="N71" s="33">
        <f t="shared" si="146"/>
        <v>0</v>
      </c>
      <c r="O71" s="33">
        <f t="shared" si="146"/>
        <v>0</v>
      </c>
      <c r="P71" s="33">
        <f t="shared" si="146"/>
        <v>0</v>
      </c>
      <c r="Q71" s="33">
        <f t="shared" si="146"/>
        <v>0</v>
      </c>
      <c r="R71" s="33">
        <f t="shared" si="146"/>
        <v>0</v>
      </c>
      <c r="S71" s="33">
        <f t="shared" si="146"/>
        <v>0</v>
      </c>
      <c r="T71" s="33">
        <f t="shared" si="146"/>
        <v>0</v>
      </c>
      <c r="U71" s="33">
        <f t="shared" ref="U71:AD73" si="147">IF(AND(U$79&gt;=$F71,U$79&lt;=$G71),$E71/$H71,0)</f>
        <v>492750</v>
      </c>
      <c r="V71" s="33">
        <f t="shared" si="147"/>
        <v>0</v>
      </c>
      <c r="W71" s="33">
        <f t="shared" si="147"/>
        <v>0</v>
      </c>
      <c r="X71" s="33">
        <f t="shared" si="147"/>
        <v>0</v>
      </c>
      <c r="Y71" s="33">
        <f t="shared" si="147"/>
        <v>0</v>
      </c>
      <c r="Z71" s="33">
        <f t="shared" si="147"/>
        <v>0</v>
      </c>
      <c r="AA71" s="33">
        <f t="shared" si="147"/>
        <v>0</v>
      </c>
      <c r="AB71" s="33">
        <f t="shared" si="147"/>
        <v>0</v>
      </c>
      <c r="AC71" s="33">
        <f t="shared" si="147"/>
        <v>0</v>
      </c>
      <c r="AD71" s="33">
        <f t="shared" si="147"/>
        <v>0</v>
      </c>
      <c r="AE71" s="33">
        <f t="shared" ref="AE71:AJ73" si="148">IF(AND(AE$79&gt;=$F71,AE$79&lt;=$G71),$E71/$H71,0)</f>
        <v>0</v>
      </c>
      <c r="AF71" s="33">
        <f t="shared" si="148"/>
        <v>0</v>
      </c>
      <c r="AG71" s="33">
        <f t="shared" si="148"/>
        <v>0</v>
      </c>
      <c r="AH71" s="33">
        <f t="shared" si="148"/>
        <v>0</v>
      </c>
      <c r="AI71" s="33">
        <f t="shared" si="148"/>
        <v>0</v>
      </c>
      <c r="AJ71" s="33">
        <f t="shared" si="148"/>
        <v>0</v>
      </c>
      <c r="AK71" s="14">
        <f t="shared" si="118"/>
        <v>0</v>
      </c>
      <c r="AM71">
        <f t="shared" si="119"/>
        <v>0</v>
      </c>
      <c r="AN71">
        <f t="shared" si="120"/>
        <v>0</v>
      </c>
      <c r="AO71">
        <f t="shared" si="121"/>
        <v>0</v>
      </c>
      <c r="AP71">
        <f t="shared" si="122"/>
        <v>0</v>
      </c>
      <c r="AQ71">
        <f t="shared" si="123"/>
        <v>0</v>
      </c>
      <c r="AR71">
        <f t="shared" si="124"/>
        <v>0</v>
      </c>
      <c r="AS71">
        <f t="shared" si="125"/>
        <v>0</v>
      </c>
      <c r="AT71">
        <f t="shared" si="126"/>
        <v>0</v>
      </c>
      <c r="AU71">
        <f t="shared" si="127"/>
        <v>0</v>
      </c>
      <c r="AV71">
        <f t="shared" si="128"/>
        <v>0</v>
      </c>
      <c r="AW71">
        <f t="shared" si="129"/>
        <v>1</v>
      </c>
      <c r="AX71">
        <f t="shared" si="130"/>
        <v>0</v>
      </c>
      <c r="AY71">
        <f t="shared" si="131"/>
        <v>0</v>
      </c>
      <c r="AZ71">
        <f t="shared" si="132"/>
        <v>0</v>
      </c>
      <c r="BA71">
        <f t="shared" si="133"/>
        <v>0</v>
      </c>
      <c r="BB71">
        <f t="shared" si="134"/>
        <v>0</v>
      </c>
      <c r="BC71">
        <f t="shared" si="135"/>
        <v>0</v>
      </c>
      <c r="BD71">
        <f t="shared" si="136"/>
        <v>0</v>
      </c>
      <c r="BE71">
        <f t="shared" si="137"/>
        <v>0</v>
      </c>
      <c r="BF71">
        <f t="shared" si="138"/>
        <v>0</v>
      </c>
      <c r="BG71">
        <f t="shared" si="139"/>
        <v>0</v>
      </c>
      <c r="BH71">
        <f t="shared" si="140"/>
        <v>0</v>
      </c>
      <c r="BI71">
        <f t="shared" si="141"/>
        <v>0</v>
      </c>
      <c r="BJ71">
        <f t="shared" si="142"/>
        <v>0</v>
      </c>
      <c r="BK71">
        <f t="shared" si="143"/>
        <v>0</v>
      </c>
      <c r="BL71">
        <f t="shared" si="144"/>
        <v>0</v>
      </c>
      <c r="BM71">
        <f t="shared" si="145"/>
        <v>1</v>
      </c>
    </row>
    <row r="72" spans="1:65" ht="25">
      <c r="A72" s="19" t="s">
        <v>254</v>
      </c>
      <c r="B72" s="19" t="s">
        <v>385</v>
      </c>
      <c r="C72" s="19" t="s">
        <v>19</v>
      </c>
      <c r="D72" s="25" t="s">
        <v>327</v>
      </c>
      <c r="E72" s="21">
        <v>1478250</v>
      </c>
      <c r="F72" s="19">
        <v>12</v>
      </c>
      <c r="G72" s="19">
        <v>12</v>
      </c>
      <c r="H72" s="19">
        <f t="shared" si="116"/>
        <v>1</v>
      </c>
      <c r="I72" s="27" t="s">
        <v>115</v>
      </c>
      <c r="J72" s="32" t="s">
        <v>256</v>
      </c>
      <c r="K72" s="33">
        <f t="shared" si="146"/>
        <v>0</v>
      </c>
      <c r="L72" s="33">
        <f t="shared" si="146"/>
        <v>0</v>
      </c>
      <c r="M72" s="33">
        <f t="shared" si="146"/>
        <v>0</v>
      </c>
      <c r="N72" s="33">
        <f t="shared" si="146"/>
        <v>0</v>
      </c>
      <c r="O72" s="33">
        <f t="shared" si="146"/>
        <v>0</v>
      </c>
      <c r="P72" s="33">
        <f t="shared" si="146"/>
        <v>0</v>
      </c>
      <c r="Q72" s="33">
        <f t="shared" si="146"/>
        <v>0</v>
      </c>
      <c r="R72" s="33">
        <f t="shared" si="146"/>
        <v>0</v>
      </c>
      <c r="S72" s="33">
        <f t="shared" si="146"/>
        <v>0</v>
      </c>
      <c r="T72" s="33">
        <f t="shared" si="146"/>
        <v>0</v>
      </c>
      <c r="U72" s="33">
        <f t="shared" si="147"/>
        <v>0</v>
      </c>
      <c r="V72" s="33">
        <f t="shared" si="147"/>
        <v>1478250</v>
      </c>
      <c r="W72" s="33">
        <f t="shared" si="147"/>
        <v>0</v>
      </c>
      <c r="X72" s="33">
        <f t="shared" si="147"/>
        <v>0</v>
      </c>
      <c r="Y72" s="33">
        <f t="shared" si="147"/>
        <v>0</v>
      </c>
      <c r="Z72" s="33">
        <f t="shared" si="147"/>
        <v>0</v>
      </c>
      <c r="AA72" s="33">
        <f t="shared" si="147"/>
        <v>0</v>
      </c>
      <c r="AB72" s="33">
        <f t="shared" si="147"/>
        <v>0</v>
      </c>
      <c r="AC72" s="33">
        <f t="shared" si="147"/>
        <v>0</v>
      </c>
      <c r="AD72" s="33">
        <f t="shared" si="147"/>
        <v>0</v>
      </c>
      <c r="AE72" s="33">
        <f t="shared" si="148"/>
        <v>0</v>
      </c>
      <c r="AF72" s="33">
        <f t="shared" si="148"/>
        <v>0</v>
      </c>
      <c r="AG72" s="33">
        <f t="shared" si="148"/>
        <v>0</v>
      </c>
      <c r="AH72" s="33">
        <f t="shared" si="148"/>
        <v>0</v>
      </c>
      <c r="AI72" s="33">
        <f t="shared" si="148"/>
        <v>0</v>
      </c>
      <c r="AJ72" s="33">
        <f t="shared" si="148"/>
        <v>0</v>
      </c>
      <c r="AK72" s="14">
        <f t="shared" si="118"/>
        <v>0</v>
      </c>
      <c r="AM72">
        <f t="shared" si="119"/>
        <v>0</v>
      </c>
      <c r="AN72">
        <f t="shared" si="120"/>
        <v>0</v>
      </c>
      <c r="AO72">
        <f t="shared" si="121"/>
        <v>0</v>
      </c>
      <c r="AP72">
        <f t="shared" si="122"/>
        <v>0</v>
      </c>
      <c r="AQ72">
        <f t="shared" si="123"/>
        <v>0</v>
      </c>
      <c r="AR72">
        <f t="shared" si="124"/>
        <v>0</v>
      </c>
      <c r="AS72">
        <f t="shared" si="125"/>
        <v>0</v>
      </c>
      <c r="AT72">
        <f t="shared" si="126"/>
        <v>0</v>
      </c>
      <c r="AU72">
        <f t="shared" si="127"/>
        <v>0</v>
      </c>
      <c r="AV72">
        <f t="shared" si="128"/>
        <v>0</v>
      </c>
      <c r="AW72">
        <f t="shared" si="129"/>
        <v>0</v>
      </c>
      <c r="AX72">
        <f t="shared" si="130"/>
        <v>1</v>
      </c>
      <c r="AY72">
        <f t="shared" si="131"/>
        <v>0</v>
      </c>
      <c r="AZ72">
        <f t="shared" si="132"/>
        <v>0</v>
      </c>
      <c r="BA72">
        <f t="shared" si="133"/>
        <v>0</v>
      </c>
      <c r="BB72">
        <f t="shared" si="134"/>
        <v>0</v>
      </c>
      <c r="BC72">
        <f t="shared" si="135"/>
        <v>0</v>
      </c>
      <c r="BD72">
        <f t="shared" si="136"/>
        <v>0</v>
      </c>
      <c r="BE72">
        <f t="shared" si="137"/>
        <v>0</v>
      </c>
      <c r="BF72">
        <f t="shared" si="138"/>
        <v>0</v>
      </c>
      <c r="BG72">
        <f t="shared" si="139"/>
        <v>0</v>
      </c>
      <c r="BH72">
        <f t="shared" si="140"/>
        <v>0</v>
      </c>
      <c r="BI72">
        <f t="shared" si="141"/>
        <v>0</v>
      </c>
      <c r="BJ72">
        <f t="shared" si="142"/>
        <v>0</v>
      </c>
      <c r="BK72">
        <f t="shared" si="143"/>
        <v>0</v>
      </c>
      <c r="BL72">
        <f t="shared" si="144"/>
        <v>0</v>
      </c>
      <c r="BM72">
        <f t="shared" si="145"/>
        <v>1</v>
      </c>
    </row>
    <row r="73" spans="1:65" ht="25">
      <c r="A73" s="19" t="s">
        <v>257</v>
      </c>
      <c r="B73" s="19" t="s">
        <v>386</v>
      </c>
      <c r="C73" s="19" t="s">
        <v>19</v>
      </c>
      <c r="D73" s="25" t="s">
        <v>327</v>
      </c>
      <c r="E73" s="21">
        <v>7884000</v>
      </c>
      <c r="F73" s="19">
        <v>13</v>
      </c>
      <c r="G73" s="19">
        <v>20</v>
      </c>
      <c r="H73" s="19">
        <f t="shared" si="116"/>
        <v>8</v>
      </c>
      <c r="I73" s="27" t="s">
        <v>115</v>
      </c>
      <c r="J73" s="32" t="s">
        <v>259</v>
      </c>
      <c r="K73" s="33">
        <f t="shared" si="146"/>
        <v>0</v>
      </c>
      <c r="L73" s="33">
        <f t="shared" si="146"/>
        <v>0</v>
      </c>
      <c r="M73" s="33">
        <f t="shared" si="146"/>
        <v>0</v>
      </c>
      <c r="N73" s="33">
        <f t="shared" si="146"/>
        <v>0</v>
      </c>
      <c r="O73" s="33">
        <f t="shared" si="146"/>
        <v>0</v>
      </c>
      <c r="P73" s="33">
        <f t="shared" si="146"/>
        <v>0</v>
      </c>
      <c r="Q73" s="33">
        <f t="shared" si="146"/>
        <v>0</v>
      </c>
      <c r="R73" s="33">
        <f t="shared" si="146"/>
        <v>0</v>
      </c>
      <c r="S73" s="33">
        <f t="shared" si="146"/>
        <v>0</v>
      </c>
      <c r="T73" s="33">
        <f t="shared" si="146"/>
        <v>0</v>
      </c>
      <c r="U73" s="33">
        <f t="shared" si="147"/>
        <v>0</v>
      </c>
      <c r="V73" s="33">
        <f t="shared" si="147"/>
        <v>0</v>
      </c>
      <c r="W73" s="33">
        <f t="shared" si="147"/>
        <v>985500</v>
      </c>
      <c r="X73" s="33">
        <f t="shared" si="147"/>
        <v>985500</v>
      </c>
      <c r="Y73" s="33">
        <f t="shared" si="147"/>
        <v>985500</v>
      </c>
      <c r="Z73" s="33">
        <f t="shared" si="147"/>
        <v>985500</v>
      </c>
      <c r="AA73" s="33">
        <f t="shared" si="147"/>
        <v>985500</v>
      </c>
      <c r="AB73" s="33">
        <f t="shared" si="147"/>
        <v>985500</v>
      </c>
      <c r="AC73" s="33">
        <f t="shared" si="147"/>
        <v>985500</v>
      </c>
      <c r="AD73" s="33">
        <f t="shared" si="147"/>
        <v>985500</v>
      </c>
      <c r="AE73" s="33">
        <f t="shared" si="148"/>
        <v>0</v>
      </c>
      <c r="AF73" s="33">
        <f t="shared" si="148"/>
        <v>0</v>
      </c>
      <c r="AG73" s="33">
        <f t="shared" si="148"/>
        <v>0</v>
      </c>
      <c r="AH73" s="33">
        <f t="shared" si="148"/>
        <v>0</v>
      </c>
      <c r="AI73" s="33">
        <f t="shared" si="148"/>
        <v>0</v>
      </c>
      <c r="AJ73" s="33">
        <f t="shared" si="148"/>
        <v>0</v>
      </c>
      <c r="AK73" s="14">
        <f t="shared" si="118"/>
        <v>0</v>
      </c>
      <c r="AM73">
        <f t="shared" si="119"/>
        <v>0</v>
      </c>
      <c r="AN73">
        <f t="shared" si="120"/>
        <v>0</v>
      </c>
      <c r="AO73">
        <f t="shared" si="121"/>
        <v>0</v>
      </c>
      <c r="AP73">
        <f t="shared" si="122"/>
        <v>0</v>
      </c>
      <c r="AQ73">
        <f t="shared" si="123"/>
        <v>0</v>
      </c>
      <c r="AR73">
        <f t="shared" si="124"/>
        <v>0</v>
      </c>
      <c r="AS73">
        <f t="shared" si="125"/>
        <v>0</v>
      </c>
      <c r="AT73">
        <f t="shared" si="126"/>
        <v>0</v>
      </c>
      <c r="AU73">
        <f t="shared" si="127"/>
        <v>0</v>
      </c>
      <c r="AV73">
        <f t="shared" si="128"/>
        <v>0</v>
      </c>
      <c r="AW73">
        <f t="shared" si="129"/>
        <v>0</v>
      </c>
      <c r="AX73">
        <f t="shared" si="130"/>
        <v>0</v>
      </c>
      <c r="AY73">
        <f t="shared" si="131"/>
        <v>1</v>
      </c>
      <c r="AZ73">
        <f t="shared" si="132"/>
        <v>2</v>
      </c>
      <c r="BA73">
        <f t="shared" si="133"/>
        <v>3</v>
      </c>
      <c r="BB73">
        <f t="shared" si="134"/>
        <v>4</v>
      </c>
      <c r="BC73">
        <f t="shared" si="135"/>
        <v>4</v>
      </c>
      <c r="BD73">
        <f t="shared" si="136"/>
        <v>3</v>
      </c>
      <c r="BE73">
        <f t="shared" si="137"/>
        <v>2</v>
      </c>
      <c r="BF73">
        <f t="shared" si="138"/>
        <v>1</v>
      </c>
      <c r="BG73">
        <f t="shared" si="139"/>
        <v>0</v>
      </c>
      <c r="BH73">
        <f t="shared" si="140"/>
        <v>0</v>
      </c>
      <c r="BI73">
        <f t="shared" si="141"/>
        <v>0</v>
      </c>
      <c r="BJ73">
        <f t="shared" si="142"/>
        <v>0</v>
      </c>
      <c r="BK73">
        <f t="shared" si="143"/>
        <v>0</v>
      </c>
      <c r="BL73">
        <f t="shared" si="144"/>
        <v>0</v>
      </c>
      <c r="BM73">
        <f t="shared" si="145"/>
        <v>20</v>
      </c>
    </row>
    <row r="74" spans="1:65" ht="37.5">
      <c r="A74" s="19" t="s">
        <v>260</v>
      </c>
      <c r="B74" s="19" t="s">
        <v>387</v>
      </c>
      <c r="C74" s="19" t="s">
        <v>19</v>
      </c>
      <c r="D74" s="26" t="s">
        <v>331</v>
      </c>
      <c r="E74" s="21">
        <v>12045000</v>
      </c>
      <c r="F74" s="19">
        <v>21</v>
      </c>
      <c r="G74" s="19">
        <v>26</v>
      </c>
      <c r="H74" s="19">
        <f t="shared" si="116"/>
        <v>6</v>
      </c>
      <c r="I74" s="19" t="s">
        <v>39</v>
      </c>
      <c r="J74" s="32" t="s">
        <v>262</v>
      </c>
      <c r="K74" s="33">
        <f t="shared" ref="K74:AJ74" si="149">IF(AND(K$79&gt;=$F74,K$79&lt;=$G74),AM74/$BM$74*$E74,0)</f>
        <v>0</v>
      </c>
      <c r="L74" s="33">
        <f t="shared" si="149"/>
        <v>0</v>
      </c>
      <c r="M74" s="33">
        <f t="shared" si="149"/>
        <v>0</v>
      </c>
      <c r="N74" s="33">
        <f t="shared" si="149"/>
        <v>0</v>
      </c>
      <c r="O74" s="33">
        <f t="shared" si="149"/>
        <v>0</v>
      </c>
      <c r="P74" s="33">
        <f t="shared" si="149"/>
        <v>0</v>
      </c>
      <c r="Q74" s="33">
        <f t="shared" si="149"/>
        <v>0</v>
      </c>
      <c r="R74" s="33">
        <f t="shared" si="149"/>
        <v>0</v>
      </c>
      <c r="S74" s="33">
        <f t="shared" si="149"/>
        <v>0</v>
      </c>
      <c r="T74" s="33">
        <f t="shared" si="149"/>
        <v>0</v>
      </c>
      <c r="U74" s="33">
        <f t="shared" si="149"/>
        <v>0</v>
      </c>
      <c r="V74" s="33">
        <f t="shared" si="149"/>
        <v>0</v>
      </c>
      <c r="W74" s="33">
        <f t="shared" si="149"/>
        <v>0</v>
      </c>
      <c r="X74" s="33">
        <f t="shared" si="149"/>
        <v>0</v>
      </c>
      <c r="Y74" s="33">
        <f t="shared" si="149"/>
        <v>0</v>
      </c>
      <c r="Z74" s="33">
        <f t="shared" si="149"/>
        <v>0</v>
      </c>
      <c r="AA74" s="33">
        <f t="shared" si="149"/>
        <v>0</v>
      </c>
      <c r="AB74" s="33">
        <f t="shared" si="149"/>
        <v>0</v>
      </c>
      <c r="AC74" s="33">
        <f t="shared" si="149"/>
        <v>0</v>
      </c>
      <c r="AD74" s="33">
        <f t="shared" si="149"/>
        <v>0</v>
      </c>
      <c r="AE74" s="33">
        <f t="shared" si="149"/>
        <v>1003750</v>
      </c>
      <c r="AF74" s="33">
        <f t="shared" si="149"/>
        <v>2007500</v>
      </c>
      <c r="AG74" s="33">
        <f t="shared" si="149"/>
        <v>3011250</v>
      </c>
      <c r="AH74" s="33">
        <f t="shared" si="149"/>
        <v>3011250</v>
      </c>
      <c r="AI74" s="33">
        <f t="shared" si="149"/>
        <v>2007500</v>
      </c>
      <c r="AJ74" s="33">
        <f t="shared" si="149"/>
        <v>1003750</v>
      </c>
      <c r="AK74" s="14">
        <f t="shared" si="118"/>
        <v>0</v>
      </c>
      <c r="AM74">
        <f t="shared" si="119"/>
        <v>0</v>
      </c>
      <c r="AN74">
        <f t="shared" si="120"/>
        <v>0</v>
      </c>
      <c r="AO74">
        <f t="shared" si="121"/>
        <v>0</v>
      </c>
      <c r="AP74">
        <f t="shared" si="122"/>
        <v>0</v>
      </c>
      <c r="AQ74">
        <f t="shared" si="123"/>
        <v>0</v>
      </c>
      <c r="AR74">
        <f t="shared" si="124"/>
        <v>0</v>
      </c>
      <c r="AS74">
        <f t="shared" si="125"/>
        <v>0</v>
      </c>
      <c r="AT74">
        <f t="shared" si="126"/>
        <v>0</v>
      </c>
      <c r="AU74">
        <f t="shared" si="127"/>
        <v>0</v>
      </c>
      <c r="AV74">
        <f t="shared" si="128"/>
        <v>0</v>
      </c>
      <c r="AW74">
        <f t="shared" si="129"/>
        <v>0</v>
      </c>
      <c r="AX74">
        <f t="shared" si="130"/>
        <v>0</v>
      </c>
      <c r="AY74">
        <f t="shared" si="131"/>
        <v>0</v>
      </c>
      <c r="AZ74">
        <f t="shared" si="132"/>
        <v>0</v>
      </c>
      <c r="BA74">
        <f t="shared" si="133"/>
        <v>0</v>
      </c>
      <c r="BB74">
        <f t="shared" si="134"/>
        <v>0</v>
      </c>
      <c r="BC74">
        <f t="shared" si="135"/>
        <v>0</v>
      </c>
      <c r="BD74">
        <f t="shared" si="136"/>
        <v>0</v>
      </c>
      <c r="BE74">
        <f t="shared" si="137"/>
        <v>0</v>
      </c>
      <c r="BF74">
        <f t="shared" si="138"/>
        <v>0</v>
      </c>
      <c r="BG74">
        <f t="shared" si="139"/>
        <v>1</v>
      </c>
      <c r="BH74">
        <f t="shared" si="140"/>
        <v>2</v>
      </c>
      <c r="BI74">
        <f t="shared" si="141"/>
        <v>3</v>
      </c>
      <c r="BJ74">
        <f t="shared" si="142"/>
        <v>3</v>
      </c>
      <c r="BK74">
        <f t="shared" si="143"/>
        <v>2</v>
      </c>
      <c r="BL74">
        <f t="shared" si="144"/>
        <v>1</v>
      </c>
      <c r="BM74">
        <f t="shared" si="145"/>
        <v>12</v>
      </c>
    </row>
    <row r="75" spans="1:65">
      <c r="A75" s="19" t="s">
        <v>263</v>
      </c>
      <c r="B75" s="19" t="s">
        <v>388</v>
      </c>
      <c r="C75" s="19" t="s">
        <v>18</v>
      </c>
      <c r="D75" s="25" t="s">
        <v>327</v>
      </c>
      <c r="E75" s="21">
        <v>202477.5</v>
      </c>
      <c r="F75" s="19">
        <v>7</v>
      </c>
      <c r="G75" s="19">
        <v>7</v>
      </c>
      <c r="H75" s="19">
        <f t="shared" si="116"/>
        <v>1</v>
      </c>
      <c r="I75" s="27" t="s">
        <v>115</v>
      </c>
      <c r="J75" s="32" t="s">
        <v>73</v>
      </c>
      <c r="K75" s="33">
        <f t="shared" ref="K75:T77" si="150">IF(AND(K$79&gt;=$F75,K$79&lt;=$G75),$E75/$H75,0)</f>
        <v>0</v>
      </c>
      <c r="L75" s="33">
        <f t="shared" si="150"/>
        <v>0</v>
      </c>
      <c r="M75" s="33">
        <f t="shared" si="150"/>
        <v>0</v>
      </c>
      <c r="N75" s="33">
        <f t="shared" si="150"/>
        <v>0</v>
      </c>
      <c r="O75" s="33">
        <f t="shared" si="150"/>
        <v>0</v>
      </c>
      <c r="P75" s="33">
        <f t="shared" si="150"/>
        <v>0</v>
      </c>
      <c r="Q75" s="33">
        <f t="shared" si="150"/>
        <v>202477.5</v>
      </c>
      <c r="R75" s="33">
        <f t="shared" si="150"/>
        <v>0</v>
      </c>
      <c r="S75" s="33">
        <f t="shared" si="150"/>
        <v>0</v>
      </c>
      <c r="T75" s="33">
        <f t="shared" si="150"/>
        <v>0</v>
      </c>
      <c r="U75" s="33">
        <f t="shared" ref="U75:AD77" si="151">IF(AND(U$79&gt;=$F75,U$79&lt;=$G75),$E75/$H75,0)</f>
        <v>0</v>
      </c>
      <c r="V75" s="33">
        <f t="shared" si="151"/>
        <v>0</v>
      </c>
      <c r="W75" s="33">
        <f t="shared" si="151"/>
        <v>0</v>
      </c>
      <c r="X75" s="33">
        <f t="shared" si="151"/>
        <v>0</v>
      </c>
      <c r="Y75" s="33">
        <f t="shared" si="151"/>
        <v>0</v>
      </c>
      <c r="Z75" s="33">
        <f t="shared" si="151"/>
        <v>0</v>
      </c>
      <c r="AA75" s="33">
        <f t="shared" si="151"/>
        <v>0</v>
      </c>
      <c r="AB75" s="33">
        <f t="shared" si="151"/>
        <v>0</v>
      </c>
      <c r="AC75" s="33">
        <f t="shared" si="151"/>
        <v>0</v>
      </c>
      <c r="AD75" s="33">
        <f t="shared" si="151"/>
        <v>0</v>
      </c>
      <c r="AE75" s="33">
        <f t="shared" ref="AE75:AJ77" si="152">IF(AND(AE$79&gt;=$F75,AE$79&lt;=$G75),$E75/$H75,0)</f>
        <v>0</v>
      </c>
      <c r="AF75" s="33">
        <f t="shared" si="152"/>
        <v>0</v>
      </c>
      <c r="AG75" s="33">
        <f t="shared" si="152"/>
        <v>0</v>
      </c>
      <c r="AH75" s="33">
        <f t="shared" si="152"/>
        <v>0</v>
      </c>
      <c r="AI75" s="33">
        <f t="shared" si="152"/>
        <v>0</v>
      </c>
      <c r="AJ75" s="33">
        <f t="shared" si="152"/>
        <v>0</v>
      </c>
      <c r="AK75" s="14">
        <f t="shared" si="118"/>
        <v>0</v>
      </c>
      <c r="AM75">
        <f t="shared" si="119"/>
        <v>0</v>
      </c>
      <c r="AN75">
        <f t="shared" si="120"/>
        <v>0</v>
      </c>
      <c r="AO75">
        <f t="shared" si="121"/>
        <v>0</v>
      </c>
      <c r="AP75">
        <f t="shared" si="122"/>
        <v>0</v>
      </c>
      <c r="AQ75">
        <f t="shared" si="123"/>
        <v>0</v>
      </c>
      <c r="AR75">
        <f t="shared" si="124"/>
        <v>0</v>
      </c>
      <c r="AS75">
        <f t="shared" si="125"/>
        <v>1</v>
      </c>
      <c r="AT75">
        <f t="shared" si="126"/>
        <v>0</v>
      </c>
      <c r="AU75">
        <f t="shared" si="127"/>
        <v>0</v>
      </c>
      <c r="AV75">
        <f t="shared" si="128"/>
        <v>0</v>
      </c>
      <c r="AW75">
        <f t="shared" si="129"/>
        <v>0</v>
      </c>
      <c r="AX75">
        <f t="shared" si="130"/>
        <v>0</v>
      </c>
      <c r="AY75">
        <f t="shared" si="131"/>
        <v>0</v>
      </c>
      <c r="AZ75">
        <f t="shared" si="132"/>
        <v>0</v>
      </c>
      <c r="BA75">
        <f t="shared" si="133"/>
        <v>0</v>
      </c>
      <c r="BB75">
        <f t="shared" si="134"/>
        <v>0</v>
      </c>
      <c r="BC75">
        <f t="shared" si="135"/>
        <v>0</v>
      </c>
      <c r="BD75">
        <f t="shared" si="136"/>
        <v>0</v>
      </c>
      <c r="BE75">
        <f t="shared" si="137"/>
        <v>0</v>
      </c>
      <c r="BF75">
        <f t="shared" si="138"/>
        <v>0</v>
      </c>
      <c r="BG75">
        <f t="shared" si="139"/>
        <v>0</v>
      </c>
      <c r="BH75">
        <f t="shared" si="140"/>
        <v>0</v>
      </c>
      <c r="BI75">
        <f t="shared" si="141"/>
        <v>0</v>
      </c>
      <c r="BJ75">
        <f t="shared" si="142"/>
        <v>0</v>
      </c>
      <c r="BK75">
        <f t="shared" si="143"/>
        <v>0</v>
      </c>
      <c r="BL75">
        <f t="shared" si="144"/>
        <v>0</v>
      </c>
      <c r="BM75">
        <f t="shared" si="145"/>
        <v>1</v>
      </c>
    </row>
    <row r="76" spans="1:65" ht="25">
      <c r="A76" s="19" t="s">
        <v>266</v>
      </c>
      <c r="B76" s="19" t="s">
        <v>389</v>
      </c>
      <c r="C76" s="19" t="s">
        <v>18</v>
      </c>
      <c r="D76" s="25" t="s">
        <v>327</v>
      </c>
      <c r="E76" s="21">
        <v>607432.5</v>
      </c>
      <c r="F76" s="19">
        <v>8</v>
      </c>
      <c r="G76" s="19">
        <v>8</v>
      </c>
      <c r="H76" s="19">
        <f t="shared" si="116"/>
        <v>1</v>
      </c>
      <c r="I76" s="27" t="s">
        <v>115</v>
      </c>
      <c r="J76" s="32" t="s">
        <v>268</v>
      </c>
      <c r="K76" s="33">
        <f t="shared" si="150"/>
        <v>0</v>
      </c>
      <c r="L76" s="33">
        <f t="shared" si="150"/>
        <v>0</v>
      </c>
      <c r="M76" s="33">
        <f t="shared" si="150"/>
        <v>0</v>
      </c>
      <c r="N76" s="33">
        <f t="shared" si="150"/>
        <v>0</v>
      </c>
      <c r="O76" s="33">
        <f t="shared" si="150"/>
        <v>0</v>
      </c>
      <c r="P76" s="33">
        <f t="shared" si="150"/>
        <v>0</v>
      </c>
      <c r="Q76" s="33">
        <f t="shared" si="150"/>
        <v>0</v>
      </c>
      <c r="R76" s="33">
        <f t="shared" si="150"/>
        <v>607432.5</v>
      </c>
      <c r="S76" s="33">
        <f t="shared" si="150"/>
        <v>0</v>
      </c>
      <c r="T76" s="33">
        <f t="shared" si="150"/>
        <v>0</v>
      </c>
      <c r="U76" s="33">
        <f t="shared" si="151"/>
        <v>0</v>
      </c>
      <c r="V76" s="33">
        <f t="shared" si="151"/>
        <v>0</v>
      </c>
      <c r="W76" s="33">
        <f t="shared" si="151"/>
        <v>0</v>
      </c>
      <c r="X76" s="33">
        <f t="shared" si="151"/>
        <v>0</v>
      </c>
      <c r="Y76" s="33">
        <f t="shared" si="151"/>
        <v>0</v>
      </c>
      <c r="Z76" s="33">
        <f t="shared" si="151"/>
        <v>0</v>
      </c>
      <c r="AA76" s="33">
        <f t="shared" si="151"/>
        <v>0</v>
      </c>
      <c r="AB76" s="33">
        <f t="shared" si="151"/>
        <v>0</v>
      </c>
      <c r="AC76" s="33">
        <f t="shared" si="151"/>
        <v>0</v>
      </c>
      <c r="AD76" s="33">
        <f t="shared" si="151"/>
        <v>0</v>
      </c>
      <c r="AE76" s="33">
        <f t="shared" si="152"/>
        <v>0</v>
      </c>
      <c r="AF76" s="33">
        <f t="shared" si="152"/>
        <v>0</v>
      </c>
      <c r="AG76" s="33">
        <f t="shared" si="152"/>
        <v>0</v>
      </c>
      <c r="AH76" s="33">
        <f t="shared" si="152"/>
        <v>0</v>
      </c>
      <c r="AI76" s="33">
        <f t="shared" si="152"/>
        <v>0</v>
      </c>
      <c r="AJ76" s="33">
        <f t="shared" si="152"/>
        <v>0</v>
      </c>
      <c r="AK76" s="14">
        <f t="shared" si="118"/>
        <v>0</v>
      </c>
      <c r="AM76">
        <f t="shared" si="119"/>
        <v>0</v>
      </c>
      <c r="AN76">
        <f t="shared" si="120"/>
        <v>0</v>
      </c>
      <c r="AO76">
        <f t="shared" si="121"/>
        <v>0</v>
      </c>
      <c r="AP76">
        <f t="shared" si="122"/>
        <v>0</v>
      </c>
      <c r="AQ76">
        <f t="shared" si="123"/>
        <v>0</v>
      </c>
      <c r="AR76">
        <f t="shared" si="124"/>
        <v>0</v>
      </c>
      <c r="AS76">
        <f t="shared" si="125"/>
        <v>0</v>
      </c>
      <c r="AT76">
        <f t="shared" si="126"/>
        <v>1</v>
      </c>
      <c r="AU76">
        <f t="shared" si="127"/>
        <v>0</v>
      </c>
      <c r="AV76">
        <f t="shared" si="128"/>
        <v>0</v>
      </c>
      <c r="AW76">
        <f t="shared" si="129"/>
        <v>0</v>
      </c>
      <c r="AX76">
        <f t="shared" si="130"/>
        <v>0</v>
      </c>
      <c r="AY76">
        <f t="shared" si="131"/>
        <v>0</v>
      </c>
      <c r="AZ76">
        <f t="shared" si="132"/>
        <v>0</v>
      </c>
      <c r="BA76">
        <f t="shared" si="133"/>
        <v>0</v>
      </c>
      <c r="BB76">
        <f t="shared" si="134"/>
        <v>0</v>
      </c>
      <c r="BC76">
        <f t="shared" si="135"/>
        <v>0</v>
      </c>
      <c r="BD76">
        <f t="shared" si="136"/>
        <v>0</v>
      </c>
      <c r="BE76">
        <f t="shared" si="137"/>
        <v>0</v>
      </c>
      <c r="BF76">
        <f t="shared" si="138"/>
        <v>0</v>
      </c>
      <c r="BG76">
        <f t="shared" si="139"/>
        <v>0</v>
      </c>
      <c r="BH76">
        <f t="shared" si="140"/>
        <v>0</v>
      </c>
      <c r="BI76">
        <f t="shared" si="141"/>
        <v>0</v>
      </c>
      <c r="BJ76">
        <f t="shared" si="142"/>
        <v>0</v>
      </c>
      <c r="BK76">
        <f t="shared" si="143"/>
        <v>0</v>
      </c>
      <c r="BL76">
        <f t="shared" si="144"/>
        <v>0</v>
      </c>
      <c r="BM76">
        <f t="shared" si="145"/>
        <v>1</v>
      </c>
    </row>
    <row r="77" spans="1:65" ht="25">
      <c r="A77" s="19" t="s">
        <v>269</v>
      </c>
      <c r="B77" s="19" t="s">
        <v>390</v>
      </c>
      <c r="C77" s="19" t="s">
        <v>18</v>
      </c>
      <c r="D77" s="25" t="s">
        <v>327</v>
      </c>
      <c r="E77" s="21">
        <v>3239640</v>
      </c>
      <c r="F77" s="19">
        <v>9</v>
      </c>
      <c r="G77" s="19">
        <v>16</v>
      </c>
      <c r="H77" s="19">
        <f t="shared" si="116"/>
        <v>8</v>
      </c>
      <c r="I77" s="27" t="s">
        <v>115</v>
      </c>
      <c r="J77" s="32" t="s">
        <v>271</v>
      </c>
      <c r="K77" s="33">
        <f t="shared" si="150"/>
        <v>0</v>
      </c>
      <c r="L77" s="33">
        <f t="shared" si="150"/>
        <v>0</v>
      </c>
      <c r="M77" s="33">
        <f t="shared" si="150"/>
        <v>0</v>
      </c>
      <c r="N77" s="33">
        <f t="shared" si="150"/>
        <v>0</v>
      </c>
      <c r="O77" s="33">
        <f t="shared" si="150"/>
        <v>0</v>
      </c>
      <c r="P77" s="33">
        <f t="shared" si="150"/>
        <v>0</v>
      </c>
      <c r="Q77" s="33">
        <f t="shared" si="150"/>
        <v>0</v>
      </c>
      <c r="R77" s="33">
        <f t="shared" si="150"/>
        <v>0</v>
      </c>
      <c r="S77" s="33">
        <f t="shared" si="150"/>
        <v>404955</v>
      </c>
      <c r="T77" s="33">
        <f t="shared" si="150"/>
        <v>404955</v>
      </c>
      <c r="U77" s="33">
        <f t="shared" si="151"/>
        <v>404955</v>
      </c>
      <c r="V77" s="33">
        <f t="shared" si="151"/>
        <v>404955</v>
      </c>
      <c r="W77" s="33">
        <f t="shared" si="151"/>
        <v>404955</v>
      </c>
      <c r="X77" s="33">
        <f t="shared" si="151"/>
        <v>404955</v>
      </c>
      <c r="Y77" s="33">
        <f t="shared" si="151"/>
        <v>404955</v>
      </c>
      <c r="Z77" s="33">
        <f t="shared" si="151"/>
        <v>404955</v>
      </c>
      <c r="AA77" s="33">
        <f t="shared" si="151"/>
        <v>0</v>
      </c>
      <c r="AB77" s="33">
        <f t="shared" si="151"/>
        <v>0</v>
      </c>
      <c r="AC77" s="33">
        <f t="shared" si="151"/>
        <v>0</v>
      </c>
      <c r="AD77" s="33">
        <f t="shared" si="151"/>
        <v>0</v>
      </c>
      <c r="AE77" s="33">
        <f t="shared" si="152"/>
        <v>0</v>
      </c>
      <c r="AF77" s="33">
        <f t="shared" si="152"/>
        <v>0</v>
      </c>
      <c r="AG77" s="33">
        <f t="shared" si="152"/>
        <v>0</v>
      </c>
      <c r="AH77" s="33">
        <f t="shared" si="152"/>
        <v>0</v>
      </c>
      <c r="AI77" s="33">
        <f t="shared" si="152"/>
        <v>0</v>
      </c>
      <c r="AJ77" s="33">
        <f t="shared" si="152"/>
        <v>0</v>
      </c>
      <c r="AK77" s="14">
        <f t="shared" si="118"/>
        <v>0</v>
      </c>
      <c r="AM77">
        <f t="shared" si="119"/>
        <v>0</v>
      </c>
      <c r="AN77">
        <f t="shared" si="120"/>
        <v>0</v>
      </c>
      <c r="AO77">
        <f t="shared" si="121"/>
        <v>0</v>
      </c>
      <c r="AP77">
        <f t="shared" si="122"/>
        <v>0</v>
      </c>
      <c r="AQ77">
        <f t="shared" si="123"/>
        <v>0</v>
      </c>
      <c r="AR77">
        <f t="shared" si="124"/>
        <v>0</v>
      </c>
      <c r="AS77">
        <f t="shared" si="125"/>
        <v>0</v>
      </c>
      <c r="AT77">
        <f t="shared" si="126"/>
        <v>0</v>
      </c>
      <c r="AU77">
        <f t="shared" si="127"/>
        <v>1</v>
      </c>
      <c r="AV77">
        <f t="shared" si="128"/>
        <v>2</v>
      </c>
      <c r="AW77">
        <f t="shared" si="129"/>
        <v>3</v>
      </c>
      <c r="AX77">
        <f t="shared" si="130"/>
        <v>4</v>
      </c>
      <c r="AY77">
        <f t="shared" si="131"/>
        <v>4</v>
      </c>
      <c r="AZ77">
        <f t="shared" si="132"/>
        <v>3</v>
      </c>
      <c r="BA77">
        <f t="shared" si="133"/>
        <v>2</v>
      </c>
      <c r="BB77">
        <f t="shared" si="134"/>
        <v>1</v>
      </c>
      <c r="BC77">
        <f t="shared" si="135"/>
        <v>0</v>
      </c>
      <c r="BD77">
        <f t="shared" si="136"/>
        <v>0</v>
      </c>
      <c r="BE77">
        <f t="shared" si="137"/>
        <v>0</v>
      </c>
      <c r="BF77">
        <f t="shared" si="138"/>
        <v>0</v>
      </c>
      <c r="BG77">
        <f t="shared" si="139"/>
        <v>0</v>
      </c>
      <c r="BH77">
        <f t="shared" si="140"/>
        <v>0</v>
      </c>
      <c r="BI77">
        <f t="shared" si="141"/>
        <v>0</v>
      </c>
      <c r="BJ77">
        <f t="shared" si="142"/>
        <v>0</v>
      </c>
      <c r="BK77">
        <f t="shared" si="143"/>
        <v>0</v>
      </c>
      <c r="BL77">
        <f t="shared" si="144"/>
        <v>0</v>
      </c>
      <c r="BM77">
        <f t="shared" si="145"/>
        <v>20</v>
      </c>
    </row>
    <row r="78" spans="1:65" ht="75">
      <c r="A78" s="19" t="s">
        <v>272</v>
      </c>
      <c r="B78" s="19" t="s">
        <v>391</v>
      </c>
      <c r="C78" s="19" t="s">
        <v>18</v>
      </c>
      <c r="D78" s="26" t="s">
        <v>331</v>
      </c>
      <c r="E78" s="21">
        <v>4949450</v>
      </c>
      <c r="F78" s="19">
        <v>17</v>
      </c>
      <c r="G78" s="19">
        <v>26</v>
      </c>
      <c r="H78" s="19">
        <f t="shared" si="116"/>
        <v>10</v>
      </c>
      <c r="I78" s="19" t="s">
        <v>39</v>
      </c>
      <c r="J78" s="32" t="s">
        <v>274</v>
      </c>
      <c r="K78" s="33">
        <f t="shared" ref="K78:AJ78" si="153">IF(AND(K$79&gt;=$F78,K$79&lt;=$G78),AM78/$BM$78*$E78,0)</f>
        <v>0</v>
      </c>
      <c r="L78" s="33">
        <f t="shared" si="153"/>
        <v>0</v>
      </c>
      <c r="M78" s="33">
        <f t="shared" si="153"/>
        <v>0</v>
      </c>
      <c r="N78" s="33">
        <f t="shared" si="153"/>
        <v>0</v>
      </c>
      <c r="O78" s="33">
        <f t="shared" si="153"/>
        <v>0</v>
      </c>
      <c r="P78" s="33">
        <f t="shared" si="153"/>
        <v>0</v>
      </c>
      <c r="Q78" s="33">
        <f t="shared" si="153"/>
        <v>0</v>
      </c>
      <c r="R78" s="33">
        <f t="shared" si="153"/>
        <v>0</v>
      </c>
      <c r="S78" s="33">
        <f t="shared" si="153"/>
        <v>0</v>
      </c>
      <c r="T78" s="33">
        <f t="shared" si="153"/>
        <v>0</v>
      </c>
      <c r="U78" s="33">
        <f t="shared" si="153"/>
        <v>0</v>
      </c>
      <c r="V78" s="33">
        <f t="shared" si="153"/>
        <v>0</v>
      </c>
      <c r="W78" s="33">
        <f t="shared" si="153"/>
        <v>0</v>
      </c>
      <c r="X78" s="33">
        <f t="shared" si="153"/>
        <v>0</v>
      </c>
      <c r="Y78" s="33">
        <f t="shared" si="153"/>
        <v>0</v>
      </c>
      <c r="Z78" s="33">
        <f t="shared" si="153"/>
        <v>0</v>
      </c>
      <c r="AA78" s="33">
        <f t="shared" si="153"/>
        <v>164981.66666666666</v>
      </c>
      <c r="AB78" s="33">
        <f t="shared" si="153"/>
        <v>329963.33333333331</v>
      </c>
      <c r="AC78" s="33">
        <f t="shared" si="153"/>
        <v>494945</v>
      </c>
      <c r="AD78" s="33">
        <f t="shared" si="153"/>
        <v>659926.66666666663</v>
      </c>
      <c r="AE78" s="33">
        <f t="shared" si="153"/>
        <v>824908.33333333326</v>
      </c>
      <c r="AF78" s="33">
        <f t="shared" si="153"/>
        <v>824908.33333333326</v>
      </c>
      <c r="AG78" s="33">
        <f t="shared" si="153"/>
        <v>659926.66666666663</v>
      </c>
      <c r="AH78" s="33">
        <f t="shared" si="153"/>
        <v>494945</v>
      </c>
      <c r="AI78" s="33">
        <f t="shared" si="153"/>
        <v>329963.33333333331</v>
      </c>
      <c r="AJ78" s="33">
        <f t="shared" si="153"/>
        <v>164981.66666666666</v>
      </c>
      <c r="AK78" s="14">
        <f t="shared" si="118"/>
        <v>0</v>
      </c>
      <c r="AM78">
        <f t="shared" si="119"/>
        <v>0</v>
      </c>
      <c r="AN78">
        <f t="shared" si="120"/>
        <v>0</v>
      </c>
      <c r="AO78">
        <f t="shared" si="121"/>
        <v>0</v>
      </c>
      <c r="AP78">
        <f t="shared" si="122"/>
        <v>0</v>
      </c>
      <c r="AQ78">
        <f t="shared" si="123"/>
        <v>0</v>
      </c>
      <c r="AR78">
        <f t="shared" si="124"/>
        <v>0</v>
      </c>
      <c r="AS78">
        <f t="shared" si="125"/>
        <v>0</v>
      </c>
      <c r="AT78">
        <f t="shared" si="126"/>
        <v>0</v>
      </c>
      <c r="AU78">
        <f t="shared" si="127"/>
        <v>0</v>
      </c>
      <c r="AV78">
        <f t="shared" si="128"/>
        <v>0</v>
      </c>
      <c r="AW78">
        <f t="shared" si="129"/>
        <v>0</v>
      </c>
      <c r="AX78">
        <f t="shared" si="130"/>
        <v>0</v>
      </c>
      <c r="AY78">
        <f t="shared" si="131"/>
        <v>0</v>
      </c>
      <c r="AZ78">
        <f t="shared" si="132"/>
        <v>0</v>
      </c>
      <c r="BA78">
        <f t="shared" si="133"/>
        <v>0</v>
      </c>
      <c r="BB78">
        <f t="shared" si="134"/>
        <v>0</v>
      </c>
      <c r="BC78">
        <f t="shared" si="135"/>
        <v>1</v>
      </c>
      <c r="BD78">
        <f t="shared" si="136"/>
        <v>2</v>
      </c>
      <c r="BE78">
        <f t="shared" si="137"/>
        <v>3</v>
      </c>
      <c r="BF78">
        <f t="shared" si="138"/>
        <v>4</v>
      </c>
      <c r="BG78">
        <f t="shared" si="139"/>
        <v>5</v>
      </c>
      <c r="BH78">
        <f t="shared" si="140"/>
        <v>5</v>
      </c>
      <c r="BI78">
        <f t="shared" si="141"/>
        <v>4</v>
      </c>
      <c r="BJ78">
        <f t="shared" si="142"/>
        <v>3</v>
      </c>
      <c r="BK78">
        <f t="shared" si="143"/>
        <v>2</v>
      </c>
      <c r="BL78">
        <f t="shared" si="144"/>
        <v>1</v>
      </c>
      <c r="BM78">
        <f t="shared" si="145"/>
        <v>30</v>
      </c>
    </row>
    <row r="79" spans="1:65" hidden="1">
      <c r="B79" s="31" t="s">
        <v>392</v>
      </c>
      <c r="K79" s="34">
        <v>1</v>
      </c>
      <c r="L79" s="34">
        <v>2</v>
      </c>
      <c r="M79" s="34">
        <v>3</v>
      </c>
      <c r="N79" s="34">
        <v>4</v>
      </c>
      <c r="O79" s="34">
        <v>5</v>
      </c>
      <c r="P79" s="34">
        <v>6</v>
      </c>
      <c r="Q79" s="34">
        <v>7</v>
      </c>
      <c r="R79" s="34">
        <v>8</v>
      </c>
      <c r="S79" s="34">
        <v>9</v>
      </c>
      <c r="T79" s="34">
        <v>10</v>
      </c>
      <c r="U79" s="34">
        <v>11</v>
      </c>
      <c r="V79" s="34">
        <v>12</v>
      </c>
      <c r="W79" s="34">
        <v>13</v>
      </c>
      <c r="X79" s="34">
        <v>14</v>
      </c>
      <c r="Y79" s="34">
        <v>15</v>
      </c>
      <c r="Z79" s="34">
        <v>16</v>
      </c>
      <c r="AA79" s="34">
        <v>17</v>
      </c>
      <c r="AB79" s="34">
        <v>18</v>
      </c>
      <c r="AC79" s="34">
        <v>19</v>
      </c>
      <c r="AD79" s="34">
        <v>20</v>
      </c>
      <c r="AE79" s="34">
        <v>21</v>
      </c>
      <c r="AF79" s="34">
        <v>22</v>
      </c>
      <c r="AG79" s="34">
        <v>23</v>
      </c>
      <c r="AH79" s="34">
        <v>24</v>
      </c>
      <c r="AI79" s="34">
        <v>25</v>
      </c>
      <c r="AJ79" s="34">
        <v>26</v>
      </c>
      <c r="AM79" s="34">
        <v>1</v>
      </c>
      <c r="AN79" s="34">
        <v>2</v>
      </c>
      <c r="AO79" s="34">
        <v>3</v>
      </c>
      <c r="AP79" s="34">
        <v>4</v>
      </c>
      <c r="AQ79" s="34">
        <v>5</v>
      </c>
      <c r="AR79" s="34">
        <v>6</v>
      </c>
      <c r="AS79" s="34">
        <v>7</v>
      </c>
      <c r="AT79" s="34">
        <v>8</v>
      </c>
      <c r="AU79" s="34">
        <v>9</v>
      </c>
      <c r="AV79" s="34">
        <v>10</v>
      </c>
      <c r="AW79" s="34">
        <v>11</v>
      </c>
      <c r="AX79" s="34">
        <v>12</v>
      </c>
      <c r="AY79" s="34">
        <v>13</v>
      </c>
      <c r="AZ79" s="34">
        <v>14</v>
      </c>
      <c r="BA79" s="34">
        <v>15</v>
      </c>
      <c r="BB79" s="34">
        <v>16</v>
      </c>
      <c r="BC79" s="34">
        <v>17</v>
      </c>
      <c r="BD79" s="34">
        <v>18</v>
      </c>
      <c r="BE79" s="34">
        <v>19</v>
      </c>
      <c r="BF79" s="34">
        <v>20</v>
      </c>
      <c r="BG79" s="34">
        <v>21</v>
      </c>
      <c r="BH79" s="34">
        <v>22</v>
      </c>
      <c r="BI79" s="34">
        <v>23</v>
      </c>
      <c r="BJ79" s="34">
        <v>24</v>
      </c>
      <c r="BK79" s="34">
        <v>25</v>
      </c>
      <c r="BL79" s="34">
        <v>26</v>
      </c>
      <c r="BM79" s="34" t="s">
        <v>393</v>
      </c>
    </row>
    <row r="80" spans="1:65">
      <c r="A80" s="35"/>
      <c r="B80" s="36" t="s">
        <v>394</v>
      </c>
      <c r="C80" s="35"/>
      <c r="D80" s="35"/>
      <c r="E80" s="37">
        <f>SUM(K80:AJ80)</f>
        <v>99999000</v>
      </c>
      <c r="F80" s="35"/>
      <c r="G80" s="35"/>
      <c r="H80" s="35"/>
      <c r="I80" s="35"/>
      <c r="J80" s="35"/>
      <c r="K80" s="37">
        <f t="shared" ref="K80:AJ80" si="154">SUM(K6:K78)</f>
        <v>188461.53846153847</v>
      </c>
      <c r="L80" s="37">
        <f t="shared" si="154"/>
        <v>467832.96703296748</v>
      </c>
      <c r="M80" s="37">
        <f t="shared" si="154"/>
        <v>607518.68131868145</v>
      </c>
      <c r="N80" s="37">
        <f t="shared" si="154"/>
        <v>747204.39560439554</v>
      </c>
      <c r="O80" s="37">
        <f t="shared" si="154"/>
        <v>607518.68131868145</v>
      </c>
      <c r="P80" s="37">
        <f t="shared" si="154"/>
        <v>607518.68131868145</v>
      </c>
      <c r="Q80" s="37">
        <f t="shared" si="154"/>
        <v>1284931.8956043934</v>
      </c>
      <c r="R80" s="37">
        <f t="shared" si="154"/>
        <v>2415736.8956043934</v>
      </c>
      <c r="S80" s="37">
        <f t="shared" si="154"/>
        <v>1988709.3956043953</v>
      </c>
      <c r="T80" s="37">
        <f t="shared" si="154"/>
        <v>2117859.3956043953</v>
      </c>
      <c r="U80" s="37">
        <f t="shared" si="154"/>
        <v>3618259.3956043953</v>
      </c>
      <c r="V80" s="37">
        <f t="shared" si="154"/>
        <v>7519316.538461538</v>
      </c>
      <c r="W80" s="37">
        <f t="shared" si="154"/>
        <v>3156917.6268969127</v>
      </c>
      <c r="X80" s="37">
        <f t="shared" si="154"/>
        <v>3945618.7153322869</v>
      </c>
      <c r="Y80" s="37">
        <f t="shared" si="154"/>
        <v>4658832.3037676606</v>
      </c>
      <c r="Z80" s="37">
        <f t="shared" si="154"/>
        <v>5335445.8922030348</v>
      </c>
      <c r="AA80" s="37">
        <f t="shared" si="154"/>
        <v>5219352.8139717421</v>
      </c>
      <c r="AB80" s="37">
        <f t="shared" si="154"/>
        <v>6098321.4024071163</v>
      </c>
      <c r="AC80" s="37">
        <f t="shared" si="154"/>
        <v>7253974.5146520147</v>
      </c>
      <c r="AD80" s="37">
        <f t="shared" si="154"/>
        <v>5952875.9262166405</v>
      </c>
      <c r="AE80" s="37">
        <f t="shared" si="154"/>
        <v>6258827.3377812654</v>
      </c>
      <c r="AF80" s="37">
        <f t="shared" si="154"/>
        <v>7238130.4160125582</v>
      </c>
      <c r="AG80" s="37">
        <f t="shared" si="154"/>
        <v>7698944.3275771849</v>
      </c>
      <c r="AH80" s="37">
        <f t="shared" si="154"/>
        <v>7170574.9058084777</v>
      </c>
      <c r="AI80" s="37">
        <f t="shared" si="154"/>
        <v>5012122.1507064356</v>
      </c>
      <c r="AJ80" s="37">
        <f t="shared" si="154"/>
        <v>2828193.205128205</v>
      </c>
      <c r="AK80" s="35"/>
    </row>
    <row r="81" spans="1:37">
      <c r="A81" s="35"/>
      <c r="B81" s="36" t="s">
        <v>395</v>
      </c>
      <c r="C81" s="35"/>
      <c r="D81" s="35"/>
      <c r="E81" s="35"/>
      <c r="F81" s="35"/>
      <c r="G81" s="35"/>
      <c r="H81" s="35"/>
      <c r="I81" s="35"/>
      <c r="J81" s="35"/>
      <c r="K81" s="37">
        <f>SUM($K$80:K80)</f>
        <v>188461.53846153847</v>
      </c>
      <c r="L81" s="37">
        <f>SUM($K$80:L80)</f>
        <v>656294.50549450598</v>
      </c>
      <c r="M81" s="37">
        <f>SUM($K$80:M80)</f>
        <v>1263813.1868131873</v>
      </c>
      <c r="N81" s="37">
        <f>SUM($K$80:N80)</f>
        <v>2011017.5824175829</v>
      </c>
      <c r="O81" s="37">
        <f>SUM($K$80:O80)</f>
        <v>2618536.2637362643</v>
      </c>
      <c r="P81" s="37">
        <f>SUM($K$80:P80)</f>
        <v>3226054.9450549455</v>
      </c>
      <c r="Q81" s="37">
        <f>SUM($K$80:Q80)</f>
        <v>4510986.840659339</v>
      </c>
      <c r="R81" s="37">
        <f>SUM($K$80:R80)</f>
        <v>6926723.7362637324</v>
      </c>
      <c r="S81" s="37">
        <f>SUM($K$80:S80)</f>
        <v>8915433.1318681277</v>
      </c>
      <c r="T81" s="37">
        <f>SUM($K$80:T80)</f>
        <v>11033292.527472522</v>
      </c>
      <c r="U81" s="37">
        <f>SUM($K$80:U80)</f>
        <v>14651551.923076916</v>
      </c>
      <c r="V81" s="37">
        <f>SUM($K$80:V80)</f>
        <v>22170868.461538456</v>
      </c>
      <c r="W81" s="37">
        <f>SUM($K$80:W80)</f>
        <v>25327786.08843537</v>
      </c>
      <c r="X81" s="37">
        <f>SUM($K$80:X80)</f>
        <v>29273404.803767659</v>
      </c>
      <c r="Y81" s="37">
        <f>SUM($K$80:Y80)</f>
        <v>33932237.107535318</v>
      </c>
      <c r="Z81" s="37">
        <f>SUM($K$80:Z80)</f>
        <v>39267682.999738351</v>
      </c>
      <c r="AA81" s="37">
        <f>SUM($K$80:AA80)</f>
        <v>44487035.813710093</v>
      </c>
      <c r="AB81" s="37">
        <f>SUM($K$80:AB80)</f>
        <v>50585357.216117211</v>
      </c>
      <c r="AC81" s="37">
        <f>SUM($K$80:AC80)</f>
        <v>57839331.730769224</v>
      </c>
      <c r="AD81" s="37">
        <f>SUM($K$80:AD80)</f>
        <v>63792207.656985864</v>
      </c>
      <c r="AE81" s="37">
        <f>SUM($K$80:AE80)</f>
        <v>70051034.994767129</v>
      </c>
      <c r="AF81" s="37">
        <f>SUM($K$80:AF80)</f>
        <v>77289165.410779685</v>
      </c>
      <c r="AG81" s="37">
        <f>SUM($K$80:AG80)</f>
        <v>84988109.738356873</v>
      </c>
      <c r="AH81" s="37">
        <f>SUM($K$80:AH80)</f>
        <v>92158684.644165352</v>
      </c>
      <c r="AI81" s="37">
        <f>SUM($K$80:AI80)</f>
        <v>97170806.794871792</v>
      </c>
      <c r="AJ81" s="37">
        <f>SUM($K$80:AJ80)</f>
        <v>99999000</v>
      </c>
      <c r="AK81" s="35"/>
    </row>
    <row r="82" spans="1:37">
      <c r="A82" s="35"/>
      <c r="B82" s="36" t="s">
        <v>396</v>
      </c>
      <c r="C82" s="35"/>
      <c r="D82" s="35"/>
      <c r="E82" s="35"/>
      <c r="F82" s="35"/>
      <c r="G82" s="35"/>
      <c r="H82" s="35"/>
      <c r="I82" s="35"/>
      <c r="J82" s="35"/>
      <c r="K82" s="38">
        <f t="shared" ref="K82:AJ82" si="155">K81/$E$80</f>
        <v>1.8846342309576942E-3</v>
      </c>
      <c r="L82" s="38">
        <f t="shared" si="155"/>
        <v>6.5630106850519104E-3</v>
      </c>
      <c r="M82" s="38">
        <f t="shared" si="155"/>
        <v>1.2638258250714381E-2</v>
      </c>
      <c r="N82" s="38">
        <f t="shared" si="155"/>
        <v>2.0110376927945109E-2</v>
      </c>
      <c r="O82" s="38">
        <f t="shared" si="155"/>
        <v>2.618562449360758E-2</v>
      </c>
      <c r="P82" s="38">
        <f t="shared" si="155"/>
        <v>3.226087205927005E-2</v>
      </c>
      <c r="Q82" s="38">
        <f t="shared" si="155"/>
        <v>4.5110319509788485E-2</v>
      </c>
      <c r="R82" s="38">
        <f t="shared" si="155"/>
        <v>6.926793004193775E-2</v>
      </c>
      <c r="S82" s="38">
        <f t="shared" si="155"/>
        <v>8.9155222870909989E-2</v>
      </c>
      <c r="T82" s="38">
        <f t="shared" si="155"/>
        <v>0.11033402861501138</v>
      </c>
      <c r="U82" s="38">
        <f t="shared" si="155"/>
        <v>0.14651698440061317</v>
      </c>
      <c r="V82" s="38">
        <f t="shared" si="155"/>
        <v>0.2217109017244018</v>
      </c>
      <c r="W82" s="38">
        <f t="shared" si="155"/>
        <v>0.25328039368829058</v>
      </c>
      <c r="X82" s="38">
        <f t="shared" si="155"/>
        <v>0.29273697540743066</v>
      </c>
      <c r="Y82" s="38">
        <f t="shared" si="155"/>
        <v>0.33932576433299649</v>
      </c>
      <c r="Z82" s="38">
        <f t="shared" si="155"/>
        <v>0.39268075680495157</v>
      </c>
      <c r="AA82" s="38">
        <f t="shared" si="155"/>
        <v>0.44487480688516978</v>
      </c>
      <c r="AB82" s="38">
        <f t="shared" si="155"/>
        <v>0.50585863074747961</v>
      </c>
      <c r="AC82" s="38">
        <f t="shared" si="155"/>
        <v>0.5783991012987052</v>
      </c>
      <c r="AD82" s="38">
        <f t="shared" si="155"/>
        <v>0.63792845585441715</v>
      </c>
      <c r="AE82" s="38">
        <f t="shared" si="155"/>
        <v>0.70051735512122248</v>
      </c>
      <c r="AF82" s="38">
        <f t="shared" si="155"/>
        <v>0.77289938310162787</v>
      </c>
      <c r="AG82" s="38">
        <f t="shared" si="155"/>
        <v>0.84988959627953153</v>
      </c>
      <c r="AH82" s="38">
        <f t="shared" si="155"/>
        <v>0.92159606240227754</v>
      </c>
      <c r="AI82" s="38">
        <f t="shared" si="155"/>
        <v>0.97171778512656914</v>
      </c>
      <c r="AJ82" s="38">
        <f t="shared" si="155"/>
        <v>1</v>
      </c>
      <c r="AK82" s="35"/>
    </row>
    <row r="84" spans="1:37">
      <c r="A84" s="39"/>
      <c r="B84" s="40" t="s">
        <v>397</v>
      </c>
      <c r="C84" s="39"/>
      <c r="D84" s="39"/>
      <c r="E84" s="41">
        <f>SUM(K80:V80)</f>
        <v>22170868.461538456</v>
      </c>
      <c r="F84" s="39"/>
    </row>
    <row r="85" spans="1:37">
      <c r="A85" s="39"/>
      <c r="B85" s="40" t="s">
        <v>398</v>
      </c>
      <c r="C85" s="39"/>
      <c r="D85" s="39"/>
      <c r="E85" s="42">
        <f>E84/$E$80</f>
        <v>0.2217109017244018</v>
      </c>
      <c r="F85" s="39"/>
    </row>
    <row r="86" spans="1:37">
      <c r="A86" s="39"/>
      <c r="B86" s="40" t="s">
        <v>399</v>
      </c>
      <c r="C86" s="39"/>
      <c r="D86" s="39"/>
      <c r="E86" s="41">
        <f>SUM(W80:AJ80)</f>
        <v>77828131.538461536</v>
      </c>
      <c r="F86" s="39"/>
    </row>
  </sheetData>
  <mergeCells count="3">
    <mergeCell ref="F1:AK2"/>
    <mergeCell ref="A3:AK3"/>
    <mergeCell ref="A4:AK4"/>
  </mergeCells>
  <conditionalFormatting sqref="K6:AJ78">
    <cfRule type="expression" dxfId="0" priority="2">
      <formula>K6&lt;&gt;0</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
  <sheetViews>
    <sheetView showGridLines="0" zoomScaleNormal="100" workbookViewId="0"/>
  </sheetViews>
  <sheetFormatPr defaultColWidth="8.6328125" defaultRowHeight="14.5"/>
  <cols>
    <col min="1" max="1" width="42" customWidth="1"/>
    <col min="2" max="3" width="16" customWidth="1"/>
    <col min="4" max="4" width="55" customWidth="1"/>
    <col min="5" max="6" width="10" customWidth="1"/>
  </cols>
  <sheetData>
    <row r="1" spans="1:6" ht="27.75" customHeight="1">
      <c r="A1" s="9"/>
      <c r="B1" s="9"/>
      <c r="C1" s="9"/>
      <c r="D1" s="9"/>
      <c r="E1" s="9"/>
      <c r="F1" s="8" t="s">
        <v>400</v>
      </c>
    </row>
    <row r="2" spans="1:6" ht="9.75" customHeight="1">
      <c r="A2" s="9"/>
      <c r="B2" s="9"/>
      <c r="C2" s="9"/>
      <c r="D2" s="9"/>
      <c r="E2" s="9"/>
      <c r="F2" s="8"/>
    </row>
    <row r="3" spans="1:6" ht="6" customHeight="1">
      <c r="A3" s="7"/>
      <c r="B3" s="7"/>
      <c r="C3" s="7"/>
      <c r="D3" s="7"/>
      <c r="E3" s="7"/>
      <c r="F3" s="7"/>
    </row>
    <row r="4" spans="1:6">
      <c r="A4" s="6" t="s">
        <v>401</v>
      </c>
      <c r="B4" s="6"/>
      <c r="C4" s="6"/>
      <c r="D4" s="6"/>
      <c r="E4" s="6"/>
      <c r="F4" s="6"/>
    </row>
    <row r="5" spans="1:6" ht="15.5">
      <c r="A5" s="30" t="s">
        <v>402</v>
      </c>
    </row>
    <row r="6" spans="1:6">
      <c r="A6" s="15" t="s">
        <v>403</v>
      </c>
      <c r="B6" s="15" t="s">
        <v>404</v>
      </c>
      <c r="C6" s="15" t="s">
        <v>405</v>
      </c>
      <c r="D6" s="15" t="s">
        <v>406</v>
      </c>
      <c r="E6" s="15"/>
      <c r="F6" s="15"/>
    </row>
    <row r="7" spans="1:6" ht="37.5">
      <c r="A7" s="19" t="s">
        <v>407</v>
      </c>
      <c r="B7" s="22">
        <v>0.2</v>
      </c>
      <c r="C7" s="22">
        <v>0.8</v>
      </c>
      <c r="D7" s="20" t="s">
        <v>408</v>
      </c>
      <c r="E7" s="19"/>
      <c r="F7" s="19"/>
    </row>
    <row r="8" spans="1:6" ht="25">
      <c r="A8" s="19" t="s">
        <v>409</v>
      </c>
      <c r="B8" s="22">
        <v>0.3</v>
      </c>
      <c r="C8" s="22">
        <v>0.7</v>
      </c>
      <c r="D8" s="20" t="s">
        <v>410</v>
      </c>
      <c r="E8" s="19"/>
      <c r="F8" s="19"/>
    </row>
    <row r="9" spans="1:6" ht="25">
      <c r="A9" s="19" t="s">
        <v>411</v>
      </c>
      <c r="B9" s="22">
        <v>0.45</v>
      </c>
      <c r="C9" s="22">
        <v>0.55000000000000004</v>
      </c>
      <c r="D9" s="20" t="s">
        <v>412</v>
      </c>
      <c r="E9" s="19"/>
      <c r="F9" s="19"/>
    </row>
    <row r="10" spans="1:6">
      <c r="A10" s="19" t="s">
        <v>413</v>
      </c>
      <c r="B10" s="22">
        <v>0.4</v>
      </c>
      <c r="C10" s="22">
        <v>0.6</v>
      </c>
      <c r="D10" s="20" t="s">
        <v>414</v>
      </c>
      <c r="E10" s="19"/>
      <c r="F10" s="19"/>
    </row>
    <row r="12" spans="1:6">
      <c r="A12" s="10" t="s">
        <v>415</v>
      </c>
    </row>
    <row r="14" spans="1:6" ht="15.5">
      <c r="A14" s="30" t="s">
        <v>416</v>
      </c>
    </row>
    <row r="15" spans="1:6">
      <c r="A15" s="15" t="s">
        <v>417</v>
      </c>
      <c r="B15" s="15" t="s">
        <v>418</v>
      </c>
      <c r="C15" s="15" t="s">
        <v>419</v>
      </c>
      <c r="D15" s="15"/>
      <c r="E15" s="15"/>
      <c r="F15" s="15"/>
    </row>
    <row r="16" spans="1:6">
      <c r="A16" s="19" t="s">
        <v>420</v>
      </c>
      <c r="B16" s="22">
        <v>0.05</v>
      </c>
      <c r="C16" s="20"/>
      <c r="D16" s="19"/>
      <c r="E16" s="19"/>
      <c r="F16" s="19"/>
    </row>
    <row r="17" spans="1:6">
      <c r="A17" s="19" t="s">
        <v>421</v>
      </c>
      <c r="B17" s="22">
        <v>0.15</v>
      </c>
      <c r="C17" s="20"/>
      <c r="D17" s="19"/>
      <c r="E17" s="19"/>
      <c r="F17" s="19"/>
    </row>
    <row r="18" spans="1:6" ht="112.5">
      <c r="A18" s="19" t="s">
        <v>422</v>
      </c>
      <c r="B18" s="22">
        <v>0.8</v>
      </c>
      <c r="C18" s="20" t="s">
        <v>423</v>
      </c>
      <c r="D18" s="19"/>
      <c r="E18" s="19"/>
      <c r="F18" s="19"/>
    </row>
    <row r="20" spans="1:6">
      <c r="A20" s="10" t="s">
        <v>424</v>
      </c>
    </row>
    <row r="22" spans="1:6" ht="15.5">
      <c r="A22" s="30" t="s">
        <v>425</v>
      </c>
    </row>
    <row r="23" spans="1:6" ht="26">
      <c r="A23" s="15" t="s">
        <v>426</v>
      </c>
      <c r="B23" s="15" t="s">
        <v>427</v>
      </c>
      <c r="C23" s="15" t="s">
        <v>428</v>
      </c>
      <c r="D23" s="15" t="s">
        <v>429</v>
      </c>
      <c r="E23" s="15"/>
      <c r="F23" s="15"/>
    </row>
    <row r="24" spans="1:6">
      <c r="A24" s="19" t="s">
        <v>430</v>
      </c>
      <c r="B24" s="22">
        <v>0.15</v>
      </c>
      <c r="C24" s="22">
        <v>0.14285714285714299</v>
      </c>
      <c r="D24" s="19" t="s">
        <v>431</v>
      </c>
      <c r="E24" s="19"/>
      <c r="F24" s="19"/>
    </row>
    <row r="25" spans="1:6">
      <c r="A25" s="19" t="s">
        <v>432</v>
      </c>
      <c r="B25" s="22">
        <v>0.3</v>
      </c>
      <c r="C25" s="22">
        <v>0.28571428571428598</v>
      </c>
      <c r="D25" s="19" t="s">
        <v>433</v>
      </c>
      <c r="E25" s="19"/>
      <c r="F25" s="19"/>
    </row>
    <row r="26" spans="1:6">
      <c r="A26" s="19" t="s">
        <v>434</v>
      </c>
      <c r="B26" s="22">
        <v>0.6</v>
      </c>
      <c r="C26" s="22">
        <v>0.57142857142857095</v>
      </c>
      <c r="D26" s="19" t="s">
        <v>435</v>
      </c>
      <c r="E26" s="19"/>
      <c r="F26" s="19"/>
    </row>
    <row r="28" spans="1:6">
      <c r="A28" s="10" t="s">
        <v>436</v>
      </c>
    </row>
    <row r="30" spans="1:6" ht="15.5">
      <c r="A30" s="30" t="s">
        <v>437</v>
      </c>
    </row>
    <row r="31" spans="1:6">
      <c r="A31" s="15" t="s">
        <v>438</v>
      </c>
      <c r="B31" s="15" t="s">
        <v>418</v>
      </c>
      <c r="C31" s="15"/>
      <c r="D31" s="15"/>
      <c r="E31" s="15"/>
      <c r="F31" s="15"/>
    </row>
    <row r="32" spans="1:6">
      <c r="A32" s="19" t="s">
        <v>439</v>
      </c>
      <c r="B32" s="22">
        <v>0.4</v>
      </c>
      <c r="C32" s="19"/>
      <c r="D32" s="19"/>
      <c r="E32" s="19"/>
      <c r="F32" s="19"/>
    </row>
    <row r="33" spans="1:6">
      <c r="A33" s="19" t="s">
        <v>440</v>
      </c>
      <c r="B33" s="22">
        <v>0.6</v>
      </c>
      <c r="C33" s="19"/>
      <c r="D33" s="19"/>
      <c r="E33" s="19"/>
      <c r="F33" s="19"/>
    </row>
    <row r="35" spans="1:6" ht="15.5">
      <c r="A35" s="30" t="s">
        <v>441</v>
      </c>
    </row>
    <row r="36" spans="1:6">
      <c r="A36" s="15" t="s">
        <v>442</v>
      </c>
      <c r="B36" s="15" t="s">
        <v>443</v>
      </c>
      <c r="C36" s="15"/>
      <c r="D36" s="15"/>
      <c r="E36" s="15"/>
      <c r="F36" s="15"/>
    </row>
    <row r="37" spans="1:6">
      <c r="A37" s="19" t="s">
        <v>444</v>
      </c>
      <c r="B37" s="20" t="s">
        <v>445</v>
      </c>
      <c r="C37" s="43"/>
      <c r="D37" s="43"/>
      <c r="E37" s="43"/>
      <c r="F37" s="43"/>
    </row>
    <row r="38" spans="1:6">
      <c r="A38" s="19" t="s">
        <v>446</v>
      </c>
      <c r="B38" s="20" t="s">
        <v>447</v>
      </c>
      <c r="C38" s="43"/>
      <c r="D38" s="43"/>
      <c r="E38" s="43"/>
      <c r="F38" s="43"/>
    </row>
    <row r="39" spans="1:6" ht="25">
      <c r="A39" s="19" t="s">
        <v>448</v>
      </c>
      <c r="B39" s="20" t="s">
        <v>449</v>
      </c>
      <c r="C39" s="43"/>
      <c r="D39" s="43"/>
      <c r="E39" s="43"/>
      <c r="F39" s="43"/>
    </row>
    <row r="40" spans="1:6" ht="37.5">
      <c r="A40" s="19" t="s">
        <v>450</v>
      </c>
      <c r="B40" s="20" t="s">
        <v>451</v>
      </c>
      <c r="C40" s="43"/>
      <c r="D40" s="43"/>
      <c r="E40" s="43"/>
      <c r="F40" s="43"/>
    </row>
    <row r="41" spans="1:6" ht="62.5">
      <c r="A41" s="19" t="s">
        <v>452</v>
      </c>
      <c r="B41" s="20" t="s">
        <v>453</v>
      </c>
      <c r="C41" s="43"/>
      <c r="D41" s="43"/>
      <c r="E41" s="43"/>
      <c r="F41" s="43"/>
    </row>
    <row r="42" spans="1:6">
      <c r="A42" s="19" t="s">
        <v>454</v>
      </c>
      <c r="B42" s="20" t="s">
        <v>455</v>
      </c>
      <c r="C42" s="43"/>
      <c r="D42" s="43"/>
      <c r="E42" s="43"/>
      <c r="F42" s="43"/>
    </row>
    <row r="43" spans="1:6" ht="50">
      <c r="A43" s="19" t="s">
        <v>456</v>
      </c>
      <c r="B43" s="20" t="s">
        <v>457</v>
      </c>
      <c r="C43" s="43"/>
      <c r="D43" s="43"/>
      <c r="E43" s="43"/>
      <c r="F43" s="43"/>
    </row>
    <row r="44" spans="1:6" ht="25">
      <c r="A44" s="19" t="s">
        <v>458</v>
      </c>
      <c r="B44" s="20" t="s">
        <v>459</v>
      </c>
      <c r="C44" s="43"/>
      <c r="D44" s="43"/>
      <c r="E44" s="43"/>
      <c r="F44" s="43"/>
    </row>
    <row r="45" spans="1:6">
      <c r="A45" s="19" t="s">
        <v>460</v>
      </c>
      <c r="B45" s="20" t="s">
        <v>461</v>
      </c>
      <c r="C45" s="43"/>
      <c r="D45" s="43"/>
      <c r="E45" s="43"/>
      <c r="F45" s="43"/>
    </row>
  </sheetData>
  <mergeCells count="3">
    <mergeCell ref="F1:F2"/>
    <mergeCell ref="A3:F3"/>
    <mergeCell ref="A4:F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WBS &amp; CBS</vt:lpstr>
      <vt:lpstr>26-Month Schedule</vt:lpstr>
      <vt:lpstr>Assumptions &amp; Weightages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Kiron Vijayaraghavan</cp:lastModifiedBy>
  <cp:revision>1</cp:revision>
  <dcterms:created xsi:type="dcterms:W3CDTF">2026-09-07T11:16:20Z</dcterms:created>
  <dcterms:modified xsi:type="dcterms:W3CDTF">2026-09-09T06:24:58Z</dcterms:modified>
  <dc:language>en-US</dc:language>
</cp:coreProperties>
</file>